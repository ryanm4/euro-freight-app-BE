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oxer/Dropbox/Mac (2)/Downloads/"/>
    </mc:Choice>
  </mc:AlternateContent>
  <xr:revisionPtr revIDLastSave="0" documentId="13_ncr:1_{13B77082-3F30-354D-A71E-6D5403854CBE}" xr6:coauthVersionLast="47" xr6:coauthVersionMax="47" xr10:uidLastSave="{00000000-0000-0000-0000-000000000000}"/>
  <bookViews>
    <workbookView xWindow="0" yWindow="600" windowWidth="27480" windowHeight="24640" xr2:uid="{00000000-000D-0000-FFFF-FFFF00000000}"/>
  </bookViews>
  <sheets>
    <sheet name="Sheet1" sheetId="1" r:id="rId1"/>
    <sheet name="Data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5" i="1" l="1"/>
  <c r="B55" i="1"/>
  <c r="L54" i="1"/>
  <c r="B54" i="1"/>
  <c r="L66" i="1"/>
  <c r="B66" i="1"/>
  <c r="L65" i="1"/>
  <c r="B65" i="1"/>
  <c r="L64" i="1"/>
  <c r="B64" i="1"/>
  <c r="L50" i="1"/>
  <c r="B50" i="1"/>
  <c r="L49" i="1"/>
  <c r="B49" i="1"/>
  <c r="L77" i="1"/>
  <c r="B77" i="1"/>
  <c r="L74" i="1"/>
  <c r="B74" i="1"/>
  <c r="L73" i="1"/>
  <c r="B73" i="1"/>
  <c r="L85" i="1"/>
  <c r="B85" i="1"/>
  <c r="L84" i="1"/>
  <c r="B84" i="1"/>
  <c r="L83" i="1"/>
  <c r="B83" i="1"/>
  <c r="L82" i="1"/>
  <c r="B82" i="1"/>
  <c r="L81" i="1"/>
  <c r="B81" i="1"/>
  <c r="L46" i="1"/>
  <c r="B46" i="1"/>
  <c r="L45" i="1"/>
  <c r="B45" i="1"/>
  <c r="L44" i="1"/>
  <c r="B44" i="1"/>
  <c r="L43" i="1"/>
  <c r="B43" i="1"/>
  <c r="L38" i="1"/>
  <c r="B38" i="1"/>
  <c r="L37" i="1"/>
  <c r="B37" i="1"/>
  <c r="L36" i="1"/>
  <c r="B36" i="1"/>
  <c r="L35" i="1"/>
  <c r="B35" i="1"/>
  <c r="L34" i="1"/>
  <c r="B34" i="1"/>
  <c r="L30" i="1"/>
  <c r="B30" i="1"/>
  <c r="L29" i="1"/>
  <c r="B29" i="1"/>
  <c r="L28" i="1"/>
  <c r="B28" i="1"/>
  <c r="L27" i="1"/>
  <c r="B27" i="1"/>
  <c r="L26" i="1"/>
  <c r="B26" i="1"/>
  <c r="L22" i="1"/>
  <c r="B22" i="1"/>
  <c r="L21" i="1"/>
  <c r="B21" i="1"/>
  <c r="L20" i="1"/>
  <c r="B20" i="1"/>
  <c r="L19" i="1"/>
  <c r="B19" i="1"/>
  <c r="L48" i="1"/>
  <c r="B48" i="1"/>
  <c r="L18" i="1" l="1"/>
  <c r="B18" i="1"/>
  <c r="L17" i="1"/>
  <c r="B17" i="1"/>
  <c r="L16" i="1"/>
  <c r="B16" i="1"/>
  <c r="B71" i="1"/>
  <c r="L71" i="1"/>
  <c r="B72" i="1"/>
  <c r="L72" i="1"/>
  <c r="B76" i="1"/>
  <c r="L76" i="1"/>
  <c r="B32" i="1" l="1"/>
  <c r="L32" i="1"/>
  <c r="B33" i="1"/>
  <c r="L33" i="1"/>
  <c r="L69" i="1" l="1"/>
  <c r="B69" i="1"/>
  <c r="L68" i="1"/>
  <c r="B68" i="1"/>
  <c r="L80" i="1"/>
  <c r="B80" i="1"/>
  <c r="L79" i="1"/>
  <c r="B79" i="1"/>
  <c r="L61" i="1"/>
  <c r="B61" i="1"/>
  <c r="L60" i="1"/>
  <c r="B60" i="1"/>
  <c r="L58" i="1"/>
  <c r="B58" i="1"/>
  <c r="L57" i="1"/>
  <c r="B57" i="1"/>
  <c r="L53" i="1"/>
  <c r="B53" i="1"/>
  <c r="L52" i="1"/>
  <c r="B52" i="1"/>
  <c r="L63" i="1"/>
  <c r="B63" i="1"/>
  <c r="L42" i="1"/>
  <c r="B42" i="1"/>
  <c r="L41" i="1"/>
  <c r="B41" i="1"/>
  <c r="L40" i="1"/>
  <c r="B40" i="1"/>
  <c r="L25" i="1"/>
  <c r="B25" i="1"/>
  <c r="L24" i="1"/>
  <c r="B24" i="1"/>
  <c r="L87" i="1" l="1"/>
  <c r="N89" i="1" l="1"/>
</calcChain>
</file>

<file path=xl/sharedStrings.xml><?xml version="1.0" encoding="utf-8"?>
<sst xmlns="http://schemas.openxmlformats.org/spreadsheetml/2006/main" count="1172" uniqueCount="375">
  <si>
    <t xml:space="preserve">Date Issued </t>
  </si>
  <si>
    <t>Purchase Order Number</t>
  </si>
  <si>
    <t>VENDOR</t>
  </si>
  <si>
    <t>SHIP TO</t>
  </si>
  <si>
    <t>SIZES</t>
  </si>
  <si>
    <t>PRODUCT</t>
  </si>
  <si>
    <t>STYLE #</t>
  </si>
  <si>
    <t>COLORWAY</t>
  </si>
  <si>
    <t>XS</t>
  </si>
  <si>
    <t>S</t>
  </si>
  <si>
    <t>M</t>
  </si>
  <si>
    <t>L</t>
  </si>
  <si>
    <t>XL</t>
  </si>
  <si>
    <t>TOTAL QTY</t>
  </si>
  <si>
    <t>UNIT PRICE</t>
  </si>
  <si>
    <t>TOTAL</t>
  </si>
  <si>
    <t>Other Comments or Special Instructions</t>
  </si>
  <si>
    <t>Authorized by</t>
  </si>
  <si>
    <t>Date</t>
  </si>
  <si>
    <t>If you have any questions about this purchase order, please contact</t>
  </si>
  <si>
    <t>Woxer</t>
  </si>
  <si>
    <t>Shipmonk Warehouse</t>
  </si>
  <si>
    <t>7200 Intermodal Dr</t>
  </si>
  <si>
    <t>Louisville, KY, 40258</t>
  </si>
  <si>
    <t>(855) 222-4601</t>
  </si>
  <si>
    <t>Chloe Hazan</t>
  </si>
  <si>
    <t>6340 NE 4TH Court</t>
  </si>
  <si>
    <t>Miami, FL 33138</t>
  </si>
  <si>
    <t>Phone: +1 305-905-9630</t>
  </si>
  <si>
    <t>Baller Flex</t>
  </si>
  <si>
    <t>U1001</t>
  </si>
  <si>
    <t>Artic</t>
  </si>
  <si>
    <t>Black</t>
  </si>
  <si>
    <t>Navy 2.0</t>
  </si>
  <si>
    <t>Space Grey</t>
  </si>
  <si>
    <t>2XL</t>
  </si>
  <si>
    <t>3XL</t>
  </si>
  <si>
    <t>4XL</t>
  </si>
  <si>
    <t>Biker Flex</t>
  </si>
  <si>
    <t>U1023</t>
  </si>
  <si>
    <t>Star Flex</t>
  </si>
  <si>
    <t>Boss Flex</t>
  </si>
  <si>
    <t>U1026</t>
  </si>
  <si>
    <t>BR2024</t>
  </si>
  <si>
    <t>Chloe Hazan, Operations Director
305-905-9630 - Chloe@woxer.com</t>
  </si>
  <si>
    <t>Pigment Discharge</t>
  </si>
  <si>
    <t>Briefs Fluid</t>
  </si>
  <si>
    <t>Digital Prints</t>
  </si>
  <si>
    <t>Print Screen/Rotary</t>
  </si>
  <si>
    <t>Charcoal Heather</t>
  </si>
  <si>
    <t xml:space="preserve">Heather Grey </t>
  </si>
  <si>
    <t>Solid</t>
  </si>
  <si>
    <t>Star Fluid</t>
  </si>
  <si>
    <t>Baller Fluid</t>
  </si>
  <si>
    <t>Star Swim</t>
  </si>
  <si>
    <t>LS Sleep Tee</t>
  </si>
  <si>
    <t>Sleep Short</t>
  </si>
  <si>
    <t>Sleep Jogger</t>
  </si>
  <si>
    <t>SS Sleep Tee</t>
  </si>
  <si>
    <t>Boss Swim</t>
  </si>
  <si>
    <t>Bikini Swim</t>
  </si>
  <si>
    <t>Baller Swim</t>
  </si>
  <si>
    <t>HeadBand</t>
  </si>
  <si>
    <t>Baller Pad Liner</t>
  </si>
  <si>
    <t>Woven Shorts</t>
  </si>
  <si>
    <t>Bralette Luxe</t>
  </si>
  <si>
    <t>Bikini Luxe</t>
  </si>
  <si>
    <t>Bold Luxe</t>
  </si>
  <si>
    <t>Jet Black</t>
  </si>
  <si>
    <t>Marina</t>
  </si>
  <si>
    <t>Pride Unity</t>
  </si>
  <si>
    <t>Force Flux</t>
  </si>
  <si>
    <t>Pride Wave</t>
  </si>
  <si>
    <t>Pride Align</t>
  </si>
  <si>
    <t>Baller Luxe</t>
  </si>
  <si>
    <t>Pride Ignite</t>
  </si>
  <si>
    <t>Lychee</t>
  </si>
  <si>
    <t>Blue Aura</t>
  </si>
  <si>
    <t>Cherry</t>
  </si>
  <si>
    <t>Orchid</t>
  </si>
  <si>
    <t>Steel Blue</t>
  </si>
  <si>
    <t>Baller Fly 7"</t>
  </si>
  <si>
    <t>Wild Sage</t>
  </si>
  <si>
    <t>Chroma Blue</t>
  </si>
  <si>
    <t>Shapeshift</t>
  </si>
  <si>
    <t>Aqua Amp</t>
  </si>
  <si>
    <t>Jolt</t>
  </si>
  <si>
    <t>Pulse</t>
  </si>
  <si>
    <t>Baller Fly 5"</t>
  </si>
  <si>
    <t>Electra</t>
  </si>
  <si>
    <t>White Ditsy</t>
  </si>
  <si>
    <t>Cherry Coded</t>
  </si>
  <si>
    <t>Lucky In Love</t>
  </si>
  <si>
    <t>Pink Envy</t>
  </si>
  <si>
    <t>Red Ditsy</t>
  </si>
  <si>
    <t>Biker HW</t>
  </si>
  <si>
    <t>Purple Crush</t>
  </si>
  <si>
    <t>Lovespell</t>
  </si>
  <si>
    <t>Pink</t>
  </si>
  <si>
    <t>Purple</t>
  </si>
  <si>
    <t>Blue</t>
  </si>
  <si>
    <t>Green</t>
  </si>
  <si>
    <t>Baller Rib</t>
  </si>
  <si>
    <t>Yellow</t>
  </si>
  <si>
    <t>Orange</t>
  </si>
  <si>
    <t>Red</t>
  </si>
  <si>
    <t>Iris</t>
  </si>
  <si>
    <t>Bloom</t>
  </si>
  <si>
    <t>Bone</t>
  </si>
  <si>
    <t>Rib Tank</t>
  </si>
  <si>
    <t>Sage</t>
  </si>
  <si>
    <t>Wild Wind</t>
  </si>
  <si>
    <t>Agave Green</t>
  </si>
  <si>
    <t>Summer Sand</t>
  </si>
  <si>
    <t>Chalk Violet</t>
  </si>
  <si>
    <t>HLM</t>
  </si>
  <si>
    <t>Halloween Magic</t>
  </si>
  <si>
    <t>Icon 2.0</t>
  </si>
  <si>
    <t>NGW</t>
  </si>
  <si>
    <t>Night Watch</t>
  </si>
  <si>
    <t>SUB</t>
  </si>
  <si>
    <t>Skull Bandana</t>
  </si>
  <si>
    <t>XTD</t>
  </si>
  <si>
    <t>Xtray Tie Dye</t>
  </si>
  <si>
    <t>GOL</t>
  </si>
  <si>
    <t>Glowing Leopard</t>
  </si>
  <si>
    <t>CFI</t>
  </si>
  <si>
    <t>Cranberry Fair Isle</t>
  </si>
  <si>
    <t>BWF</t>
  </si>
  <si>
    <t>B&amp;W Fair Isle</t>
  </si>
  <si>
    <t>WNF</t>
  </si>
  <si>
    <t>Wintery Figures</t>
  </si>
  <si>
    <t>MRP</t>
  </si>
  <si>
    <t>Marbled Plaid</t>
  </si>
  <si>
    <t>MLP</t>
  </si>
  <si>
    <t>Malachite Plaid</t>
  </si>
  <si>
    <t>HPM</t>
  </si>
  <si>
    <t>Holiday Plaid Mix</t>
  </si>
  <si>
    <t>Webs They Weave</t>
  </si>
  <si>
    <t>Name TBC</t>
  </si>
  <si>
    <t>Ghostly Gradient</t>
  </si>
  <si>
    <t>Eerie 2.0</t>
  </si>
  <si>
    <t>Nocturnal Bats</t>
  </si>
  <si>
    <t>Fresh Picked</t>
  </si>
  <si>
    <t>Spicy</t>
  </si>
  <si>
    <t>Papaya Solar-Dye</t>
  </si>
  <si>
    <t>Market Plaid</t>
  </si>
  <si>
    <t>Guanábana</t>
  </si>
  <si>
    <t>Steel Stripe</t>
  </si>
  <si>
    <t>White</t>
  </si>
  <si>
    <t>Espresso Soil</t>
  </si>
  <si>
    <t>Mocha</t>
  </si>
  <si>
    <t>Boss 2.0</t>
  </si>
  <si>
    <t>Chai</t>
  </si>
  <si>
    <t>Medium Heather</t>
  </si>
  <si>
    <t>B&amp;W Graphic</t>
  </si>
  <si>
    <t>Contrast White</t>
  </si>
  <si>
    <t>Contrast Heather</t>
  </si>
  <si>
    <t>Icon</t>
  </si>
  <si>
    <t>Contrast Black</t>
  </si>
  <si>
    <t>Bandana</t>
  </si>
  <si>
    <t>Naval Academy</t>
  </si>
  <si>
    <t>Black Beauty</t>
  </si>
  <si>
    <t>Pride Hue</t>
  </si>
  <si>
    <t>Boss</t>
  </si>
  <si>
    <t>Pride Force</t>
  </si>
  <si>
    <t>Tie-Dye</t>
  </si>
  <si>
    <t>After Dark</t>
  </si>
  <si>
    <t>Jade</t>
  </si>
  <si>
    <t>Burgundy</t>
  </si>
  <si>
    <t>Bikini</t>
  </si>
  <si>
    <t>Mountain Green</t>
  </si>
  <si>
    <t>Charcoal Heather 2.0</t>
  </si>
  <si>
    <t>Heather Grey</t>
  </si>
  <si>
    <t>Grey</t>
  </si>
  <si>
    <t>Navy</t>
  </si>
  <si>
    <t>Classic</t>
  </si>
  <si>
    <t>Pride Black</t>
  </si>
  <si>
    <t>Black 2.0</t>
  </si>
  <si>
    <t>Winter Berry</t>
  </si>
  <si>
    <t>Scarlet</t>
  </si>
  <si>
    <t>BT4039</t>
  </si>
  <si>
    <t>Aspen Plaid</t>
  </si>
  <si>
    <t>Bold</t>
  </si>
  <si>
    <t>Cozy Black</t>
  </si>
  <si>
    <t>T3031</t>
  </si>
  <si>
    <t>Houndstooth</t>
  </si>
  <si>
    <t>BT4026</t>
  </si>
  <si>
    <t>Frost</t>
  </si>
  <si>
    <t>BT4027</t>
  </si>
  <si>
    <t>B&amp;W Plaid</t>
  </si>
  <si>
    <t>T3030</t>
  </si>
  <si>
    <t>Cardinal</t>
  </si>
  <si>
    <t>BT4006</t>
  </si>
  <si>
    <t>Strech Woven Short</t>
  </si>
  <si>
    <t>Pine</t>
  </si>
  <si>
    <t>Star HW</t>
  </si>
  <si>
    <t>BT4018</t>
  </si>
  <si>
    <t>Wide Elastic Boxer 7"</t>
  </si>
  <si>
    <t>Vintage Navy</t>
  </si>
  <si>
    <t>BT4017</t>
  </si>
  <si>
    <t>Wide Elastic Boxer</t>
  </si>
  <si>
    <t>Cabin Plaid</t>
  </si>
  <si>
    <t>T3017</t>
  </si>
  <si>
    <t>Rib Crop Tank</t>
  </si>
  <si>
    <t>Frost Plaid</t>
  </si>
  <si>
    <t>T3021</t>
  </si>
  <si>
    <t>Boxy Tank</t>
  </si>
  <si>
    <t>Fair Isle</t>
  </si>
  <si>
    <t>T3020</t>
  </si>
  <si>
    <t>Boxy Tee</t>
  </si>
  <si>
    <t>Oatmeal Heather</t>
  </si>
  <si>
    <t>T3010</t>
  </si>
  <si>
    <t>Peppermint</t>
  </si>
  <si>
    <t>Dreamer</t>
  </si>
  <si>
    <t>BT4012</t>
  </si>
  <si>
    <t>BT4010</t>
  </si>
  <si>
    <t>Black Chrome</t>
  </si>
  <si>
    <t>HB</t>
  </si>
  <si>
    <t>H7</t>
  </si>
  <si>
    <t>A6000</t>
  </si>
  <si>
    <t>Ginger</t>
  </si>
  <si>
    <t>PL</t>
  </si>
  <si>
    <t>Z7</t>
  </si>
  <si>
    <t>U1007</t>
  </si>
  <si>
    <t>Brushed Camo</t>
  </si>
  <si>
    <t>Z8</t>
  </si>
  <si>
    <t>U1025</t>
  </si>
  <si>
    <t>Hi-Vis</t>
  </si>
  <si>
    <t>BR2014</t>
  </si>
  <si>
    <t>Eerie-Exclusive</t>
  </si>
  <si>
    <t>Baller HW</t>
  </si>
  <si>
    <t>Rock Candy</t>
  </si>
  <si>
    <t>U1004</t>
  </si>
  <si>
    <t>Eerie</t>
  </si>
  <si>
    <t>U1003</t>
  </si>
  <si>
    <t>Halloween Black</t>
  </si>
  <si>
    <t>U1024</t>
  </si>
  <si>
    <t>Embers</t>
  </si>
  <si>
    <t>U1019</t>
  </si>
  <si>
    <t>Shirting Stripe</t>
  </si>
  <si>
    <t>BH</t>
  </si>
  <si>
    <t>W5341</t>
  </si>
  <si>
    <t>Linen</t>
  </si>
  <si>
    <t>Biker</t>
  </si>
  <si>
    <t>RB</t>
  </si>
  <si>
    <t>U1000</t>
  </si>
  <si>
    <t>Grassy Stripe</t>
  </si>
  <si>
    <t>TK</t>
  </si>
  <si>
    <t>T3006</t>
  </si>
  <si>
    <t>Blushing</t>
  </si>
  <si>
    <t>IP</t>
  </si>
  <si>
    <t>B8</t>
  </si>
  <si>
    <t>BR2023</t>
  </si>
  <si>
    <t>Khaki</t>
  </si>
  <si>
    <t>Tonal-Blue</t>
  </si>
  <si>
    <t>Berry</t>
  </si>
  <si>
    <t>Spearmint</t>
  </si>
  <si>
    <t>Star</t>
  </si>
  <si>
    <t>SP</t>
  </si>
  <si>
    <t>BR2022</t>
  </si>
  <si>
    <t>Lemon-Lime</t>
  </si>
  <si>
    <t>DR</t>
  </si>
  <si>
    <t>W5555</t>
  </si>
  <si>
    <t>Brushed Gold</t>
  </si>
  <si>
    <t>IC</t>
  </si>
  <si>
    <t>W5075</t>
  </si>
  <si>
    <t>Black Pearl</t>
  </si>
  <si>
    <t>BO</t>
  </si>
  <si>
    <t>W5055</t>
  </si>
  <si>
    <t>7-4X</t>
  </si>
  <si>
    <t>Silver</t>
  </si>
  <si>
    <t>BK</t>
  </si>
  <si>
    <t>W4060</t>
  </si>
  <si>
    <t>6-3X</t>
  </si>
  <si>
    <t>Malachite</t>
  </si>
  <si>
    <t>BR</t>
  </si>
  <si>
    <t>W4828</t>
  </si>
  <si>
    <t>5-2X</t>
  </si>
  <si>
    <t>Agate</t>
  </si>
  <si>
    <t>Baller</t>
  </si>
  <si>
    <t>GS</t>
  </si>
  <si>
    <t>W4540</t>
  </si>
  <si>
    <t>4-XL</t>
  </si>
  <si>
    <t>Garnet</t>
  </si>
  <si>
    <t>SH</t>
  </si>
  <si>
    <t>W5250</t>
  </si>
  <si>
    <t>3-L</t>
  </si>
  <si>
    <t>Black Remix</t>
  </si>
  <si>
    <t>HI</t>
  </si>
  <si>
    <t>W5091</t>
  </si>
  <si>
    <t>2-M</t>
  </si>
  <si>
    <t>Monochrome</t>
  </si>
  <si>
    <t>BI</t>
  </si>
  <si>
    <t>W5333</t>
  </si>
  <si>
    <t>1-S</t>
  </si>
  <si>
    <t>Black Tie Dye</t>
  </si>
  <si>
    <t>ST</t>
  </si>
  <si>
    <t>W5355</t>
  </si>
  <si>
    <t>0-XS</t>
  </si>
  <si>
    <t>Black Marl</t>
  </si>
  <si>
    <t>BA</t>
  </si>
  <si>
    <t>W5369</t>
  </si>
  <si>
    <t>CONCAT(VLOOKUP(F34,Data!A:D,3,FALSE),VLOOKUP(F34,Data!A:D,4,FALSE),"-",VLOOKUP(C34,Data!K:M,3,FALSE),VLOOKUP(G34,Data!O:P,2,FALSE))</t>
  </si>
  <si>
    <t>Size Code</t>
  </si>
  <si>
    <t>Size</t>
  </si>
  <si>
    <t>Color Type</t>
  </si>
  <si>
    <t>Color Name</t>
  </si>
  <si>
    <t>FOB</t>
  </si>
  <si>
    <t>Color type</t>
  </si>
  <si>
    <t>Style</t>
  </si>
  <si>
    <t>Style Abrv</t>
  </si>
  <si>
    <t>Item Abrv</t>
  </si>
  <si>
    <t>Style Code</t>
  </si>
  <si>
    <t>Brandix</t>
  </si>
  <si>
    <t>Lot 19, Block B, Biyagama EPZ,</t>
  </si>
  <si>
    <t>Malwana, Sri Lanka</t>
  </si>
  <si>
    <t>Phone: +94 771853373</t>
  </si>
  <si>
    <t>Win Baller</t>
  </si>
  <si>
    <t>BT4008</t>
  </si>
  <si>
    <t>Win Star</t>
  </si>
  <si>
    <t>BT4005A</t>
  </si>
  <si>
    <t>Win Boss</t>
  </si>
  <si>
    <t>BR2007</t>
  </si>
  <si>
    <t>Win Lift</t>
  </si>
  <si>
    <t>BR2012</t>
  </si>
  <si>
    <t>Star Pad Liner</t>
  </si>
  <si>
    <t>U1006</t>
  </si>
  <si>
    <t>Biker Pad Liner</t>
  </si>
  <si>
    <t>U1008</t>
  </si>
  <si>
    <t>Star Luxe</t>
  </si>
  <si>
    <t>U1043</t>
  </si>
  <si>
    <t>U1042</t>
  </si>
  <si>
    <t>Latte 3.0</t>
  </si>
  <si>
    <t>Espresso</t>
  </si>
  <si>
    <t>Vendor</t>
  </si>
  <si>
    <t>Address</t>
  </si>
  <si>
    <t>PO Number Start</t>
  </si>
  <si>
    <t>Lot 19, Block B, Biyagama EPZ,
Malwana, Sri Lanka
Phone: +94 771853373</t>
  </si>
  <si>
    <t>W2</t>
  </si>
  <si>
    <t>I Apparel</t>
  </si>
  <si>
    <t>National Road 3, KM27, in Kandal Steng, Kandal Province, Cambodia
Phone: +855 070298722</t>
  </si>
  <si>
    <t>W3</t>
  </si>
  <si>
    <t xml:space="preserve">Delta Galil	</t>
  </si>
  <si>
    <t xml:space="preserve">45 Ha’Eshel St., Southern Industrial Zone	
Caesarea, 3088900, Israel  	
Office: +972-76-8177099	</t>
  </si>
  <si>
    <t>W4</t>
  </si>
  <si>
    <t xml:space="preserve">National Road 3, KM27, in Kandal Steng, </t>
  </si>
  <si>
    <t>Kandal Province, Cambodia</t>
  </si>
  <si>
    <t>Phone: +855 070298722</t>
  </si>
  <si>
    <t xml:space="preserve">45 Ha’Eshel St., Southern Industrial Zone	</t>
  </si>
  <si>
    <t xml:space="preserve">Caesarea, 3088900, Israel  </t>
  </si>
  <si>
    <t>Office: +972-76-8177099</t>
  </si>
  <si>
    <t>Plum</t>
  </si>
  <si>
    <t>Baller Fluid Light</t>
  </si>
  <si>
    <t>Star Fluid Light</t>
  </si>
  <si>
    <t>Midnight Sky</t>
  </si>
  <si>
    <t>Cosmic Dust</t>
  </si>
  <si>
    <t>Win Bareen Shorts</t>
  </si>
  <si>
    <t>BT4030</t>
  </si>
  <si>
    <t>Kiwi</t>
  </si>
  <si>
    <t>Guava</t>
  </si>
  <si>
    <t>Wild Berry</t>
  </si>
  <si>
    <t>Moonstone</t>
  </si>
  <si>
    <t>U1013C2</t>
  </si>
  <si>
    <t>U1012C2</t>
  </si>
  <si>
    <t>Ion Drift</t>
  </si>
  <si>
    <t>Stars Rain</t>
  </si>
  <si>
    <t>Violet Bang</t>
  </si>
  <si>
    <t>Moon Field</t>
  </si>
  <si>
    <t>Star Noise</t>
  </si>
  <si>
    <t>Galactic River</t>
  </si>
  <si>
    <t>W22607-0-9</t>
  </si>
  <si>
    <t>Deep Current 2.0</t>
  </si>
  <si>
    <t>Ex-Factory: 12/4/2026</t>
  </si>
  <si>
    <t>Marketing Samples: 11/19/2026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</si>
</sst>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rgb="FF000000"/>
      <name val="Calibri"/>
    </font>
    <font>
      <sz val="11"/>
      <name val="Calibri"/>
      <family val="2"/>
    </font>
    <font>
      <sz val="11"/>
      <color rgb="FFFFFFFF"/>
      <name val="Trebuchet MS"/>
      <family val="2"/>
    </font>
    <font>
      <sz val="11"/>
      <color rgb="FFFFFFFF"/>
      <name val="Calibri"/>
      <family val="2"/>
    </font>
    <font>
      <b/>
      <sz val="10"/>
      <color rgb="FFFFFFFF"/>
      <name val="Trebuchet MS"/>
      <family val="2"/>
    </font>
    <font>
      <b/>
      <sz val="10"/>
      <name val="Trebuchet MS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2"/>
      <color rgb="FFA88FAA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A88FAA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969696"/>
        <bgColor rgb="FF969696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8909C"/>
        <bgColor rgb="FFFF6600"/>
      </patternFill>
    </fill>
    <fill>
      <patternFill patternType="solid">
        <fgColor rgb="FF78909C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6EDF1"/>
        <bgColor rgb="FFF6EDF1"/>
      </patternFill>
    </fill>
    <fill>
      <patternFill patternType="solid">
        <fgColor rgb="FFA0BDFB"/>
        <bgColor rgb="FFA0BDFB"/>
      </patternFill>
    </fill>
    <fill>
      <patternFill patternType="solid">
        <fgColor rgb="FFCCFFCC"/>
        <bgColor rgb="FFCCFFCC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0" fillId="0" borderId="4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left"/>
    </xf>
    <xf numFmtId="0" fontId="0" fillId="0" borderId="0" xfId="0" applyAlignment="1">
      <alignment horizontal="left" vertical="top"/>
    </xf>
    <xf numFmtId="0" fontId="0" fillId="0" borderId="12" xfId="0" applyBorder="1" applyAlignment="1">
      <alignment horizontal="left" vertical="top"/>
    </xf>
    <xf numFmtId="0" fontId="1" fillId="0" borderId="13" xfId="0" applyFont="1" applyBorder="1"/>
    <xf numFmtId="0" fontId="1" fillId="0" borderId="14" xfId="0" applyFont="1" applyBorder="1"/>
    <xf numFmtId="0" fontId="0" fillId="0" borderId="15" xfId="0" applyBorder="1" applyAlignment="1">
      <alignment horizontal="left"/>
    </xf>
    <xf numFmtId="0" fontId="1" fillId="0" borderId="15" xfId="0" applyFont="1" applyBorder="1"/>
    <xf numFmtId="0" fontId="0" fillId="0" borderId="15" xfId="0" applyBorder="1"/>
    <xf numFmtId="0" fontId="6" fillId="0" borderId="0" xfId="0" applyFont="1"/>
    <xf numFmtId="0" fontId="0" fillId="0" borderId="17" xfId="0" applyBorder="1" applyAlignment="1">
      <alignment horizontal="center"/>
    </xf>
    <xf numFmtId="0" fontId="6" fillId="0" borderId="17" xfId="0" applyFont="1" applyBorder="1"/>
    <xf numFmtId="0" fontId="6" fillId="0" borderId="17" xfId="0" applyFont="1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4" xfId="0" applyBorder="1"/>
    <xf numFmtId="0" fontId="6" fillId="0" borderId="4" xfId="0" applyFont="1" applyBorder="1" applyAlignment="1">
      <alignment horizontal="right"/>
    </xf>
    <xf numFmtId="44" fontId="0" fillId="0" borderId="17" xfId="1" applyFont="1" applyBorder="1" applyAlignment="1">
      <alignment horizontal="right"/>
    </xf>
    <xf numFmtId="44" fontId="5" fillId="2" borderId="4" xfId="1" applyFont="1" applyFill="1" applyBorder="1"/>
    <xf numFmtId="0" fontId="2" fillId="5" borderId="3" xfId="0" applyFont="1" applyFill="1" applyBorder="1"/>
    <xf numFmtId="0" fontId="3" fillId="5" borderId="3" xfId="0" applyFont="1" applyFill="1" applyBorder="1"/>
    <xf numFmtId="10" fontId="4" fillId="5" borderId="18" xfId="0" applyNumberFormat="1" applyFont="1" applyFill="1" applyBorder="1" applyAlignment="1">
      <alignment wrapText="1"/>
    </xf>
    <xf numFmtId="10" fontId="4" fillId="5" borderId="18" xfId="0" applyNumberFormat="1" applyFont="1" applyFill="1" applyBorder="1" applyAlignment="1">
      <alignment horizontal="left" wrapText="1"/>
    </xf>
    <xf numFmtId="0" fontId="4" fillId="5" borderId="18" xfId="0" applyFont="1" applyFill="1" applyBorder="1" applyAlignment="1">
      <alignment horizontal="center" wrapText="1"/>
    </xf>
    <xf numFmtId="12" fontId="4" fillId="5" borderId="18" xfId="0" applyNumberFormat="1" applyFont="1" applyFill="1" applyBorder="1" applyAlignment="1">
      <alignment horizontal="center" wrapText="1"/>
    </xf>
    <xf numFmtId="0" fontId="0" fillId="5" borderId="3" xfId="0" applyFill="1" applyBorder="1"/>
    <xf numFmtId="0" fontId="0" fillId="0" borderId="3" xfId="0" applyBorder="1"/>
    <xf numFmtId="14" fontId="7" fillId="0" borderId="3" xfId="0" applyNumberFormat="1" applyFont="1" applyBorder="1"/>
    <xf numFmtId="0" fontId="7" fillId="0" borderId="3" xfId="0" applyFont="1" applyBorder="1"/>
    <xf numFmtId="44" fontId="7" fillId="0" borderId="17" xfId="1" applyFont="1" applyFill="1" applyBorder="1"/>
    <xf numFmtId="164" fontId="5" fillId="2" borderId="4" xfId="2" applyNumberFormat="1" applyFont="1" applyFill="1" applyBorder="1"/>
    <xf numFmtId="164" fontId="0" fillId="0" borderId="0" xfId="2" applyNumberFormat="1" applyFont="1"/>
    <xf numFmtId="164" fontId="4" fillId="5" borderId="18" xfId="2" applyNumberFormat="1" applyFont="1" applyFill="1" applyBorder="1" applyAlignment="1">
      <alignment horizontal="center" wrapText="1"/>
    </xf>
    <xf numFmtId="164" fontId="0" fillId="0" borderId="17" xfId="2" applyNumberFormat="1" applyFont="1" applyBorder="1" applyAlignment="1">
      <alignment horizontal="center"/>
    </xf>
    <xf numFmtId="164" fontId="1" fillId="0" borderId="15" xfId="2" applyNumberFormat="1" applyFont="1" applyBorder="1"/>
    <xf numFmtId="0" fontId="11" fillId="9" borderId="22" xfId="0" applyFont="1" applyFill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  <xf numFmtId="0" fontId="12" fillId="0" borderId="22" xfId="0" applyFont="1" applyBorder="1" applyAlignment="1">
      <alignment vertical="center"/>
    </xf>
    <xf numFmtId="44" fontId="12" fillId="0" borderId="22" xfId="0" applyNumberFormat="1" applyFont="1" applyBorder="1" applyAlignment="1">
      <alignment vertical="center"/>
    </xf>
    <xf numFmtId="44" fontId="12" fillId="10" borderId="22" xfId="0" applyNumberFormat="1" applyFont="1" applyFill="1" applyBorder="1" applyAlignment="1">
      <alignment vertical="center"/>
    </xf>
    <xf numFmtId="0" fontId="12" fillId="0" borderId="18" xfId="0" applyFont="1" applyBorder="1" applyAlignment="1">
      <alignment vertical="center"/>
    </xf>
    <xf numFmtId="0" fontId="12" fillId="8" borderId="4" xfId="0" applyFont="1" applyFill="1" applyBorder="1" applyAlignment="1">
      <alignment vertical="center"/>
    </xf>
    <xf numFmtId="0" fontId="12" fillId="8" borderId="22" xfId="0" applyFont="1" applyFill="1" applyBorder="1" applyAlignment="1">
      <alignment vertical="center"/>
    </xf>
    <xf numFmtId="44" fontId="12" fillId="0" borderId="18" xfId="0" applyNumberFormat="1" applyFont="1" applyBorder="1" applyAlignment="1">
      <alignment vertical="center"/>
    </xf>
    <xf numFmtId="0" fontId="12" fillId="7" borderId="22" xfId="0" applyFont="1" applyFill="1" applyBorder="1" applyAlignment="1">
      <alignment vertical="center"/>
    </xf>
    <xf numFmtId="164" fontId="0" fillId="0" borderId="17" xfId="2" applyNumberFormat="1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/>
    </xf>
    <xf numFmtId="0" fontId="6" fillId="4" borderId="20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12" fillId="0" borderId="22" xfId="0" applyFont="1" applyBorder="1" applyAlignment="1">
      <alignment vertical="center" wrapText="1"/>
    </xf>
    <xf numFmtId="0" fontId="0" fillId="11" borderId="17" xfId="0" applyFill="1" applyBorder="1" applyAlignment="1">
      <alignment horizontal="left"/>
    </xf>
    <xf numFmtId="164" fontId="0" fillId="11" borderId="17" xfId="2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1" fillId="6" borderId="2" xfId="0" applyFont="1" applyFill="1" applyBorder="1"/>
    <xf numFmtId="0" fontId="1" fillId="6" borderId="4" xfId="0" applyFont="1" applyFill="1" applyBorder="1"/>
    <xf numFmtId="0" fontId="7" fillId="0" borderId="1" xfId="0" applyFont="1" applyBorder="1" applyAlignment="1">
      <alignment horizontal="left"/>
    </xf>
    <xf numFmtId="0" fontId="8" fillId="0" borderId="4" xfId="0" applyFont="1" applyBorder="1"/>
    <xf numFmtId="0" fontId="8" fillId="0" borderId="2" xfId="0" applyFont="1" applyBorder="1"/>
    <xf numFmtId="0" fontId="6" fillId="0" borderId="1" xfId="0" applyFont="1" applyBorder="1" applyAlignment="1">
      <alignment horizontal="left"/>
    </xf>
    <xf numFmtId="0" fontId="1" fillId="0" borderId="4" xfId="0" applyFont="1" applyBorder="1"/>
    <xf numFmtId="0" fontId="1" fillId="0" borderId="2" xfId="0" applyFont="1" applyBorder="1"/>
    <xf numFmtId="0" fontId="7" fillId="0" borderId="1" xfId="0" applyFont="1" applyBorder="1"/>
    <xf numFmtId="0" fontId="6" fillId="0" borderId="1" xfId="0" applyFont="1" applyBorder="1"/>
    <xf numFmtId="0" fontId="0" fillId="0" borderId="0" xfId="0" applyAlignment="1">
      <alignment horizontal="center"/>
    </xf>
    <xf numFmtId="0" fontId="0" fillId="0" borderId="0" xfId="0"/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left"/>
    </xf>
    <xf numFmtId="0" fontId="7" fillId="0" borderId="0" xfId="0" applyFont="1"/>
    <xf numFmtId="0" fontId="6" fillId="0" borderId="0" xfId="0" applyFont="1" applyAlignment="1">
      <alignment horizontal="left"/>
    </xf>
    <xf numFmtId="0" fontId="0" fillId="0" borderId="4" xfId="0" applyBorder="1" applyAlignment="1">
      <alignment horizontal="center"/>
    </xf>
    <xf numFmtId="0" fontId="5" fillId="3" borderId="5" xfId="0" applyFont="1" applyFill="1" applyBorder="1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3" fillId="5" borderId="16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0" fillId="0" borderId="10" xfId="0" applyBorder="1" applyAlignment="1">
      <alignment horizontal="left" vertical="top"/>
    </xf>
    <xf numFmtId="0" fontId="1" fillId="0" borderId="11" xfId="0" applyFont="1" applyBorder="1"/>
    <xf numFmtId="0" fontId="6" fillId="0" borderId="0" xfId="0" applyFont="1"/>
  </cellXfs>
  <cellStyles count="4">
    <cellStyle name="Comma" xfId="2" builtinId="3"/>
    <cellStyle name="Currency" xfId="1" builtinId="4"/>
    <cellStyle name="Normal" xfId="0" builtinId="0"/>
    <cellStyle name="Normal 2" xfId="3" xr:uid="{2451683A-AC1B-4FB5-8131-23638C7D33CA}"/>
  </cellStyles>
  <dxfs count="7">
    <dxf>
      <font>
        <color theme="2" tint="-9.9948118533890809E-2"/>
      </font>
      <fill>
        <patternFill>
          <bgColor theme="2" tint="-9.9948118533890809E-2"/>
        </patternFill>
      </fill>
    </dxf>
    <dxf>
      <font>
        <color theme="2" tint="-9.9948118533890809E-2"/>
      </font>
      <fill>
        <patternFill>
          <bgColor theme="2" tint="-9.9948118533890809E-2"/>
        </patternFill>
      </fill>
    </dxf>
    <dxf>
      <font>
        <color theme="2" tint="-9.9948118533890809E-2"/>
      </font>
      <fill>
        <patternFill>
          <bgColor theme="2" tint="-9.9948118533890809E-2"/>
        </patternFill>
      </fill>
    </dxf>
    <dxf>
      <font>
        <color theme="2" tint="-9.9948118533890809E-2"/>
      </font>
      <fill>
        <patternFill>
          <bgColor theme="2" tint="-9.9948118533890809E-2"/>
        </patternFill>
      </fill>
    </dxf>
    <dxf>
      <font>
        <color theme="2" tint="-9.9948118533890809E-2"/>
      </font>
      <fill>
        <patternFill>
          <bgColor theme="2" tint="-9.9948118533890809E-2"/>
        </patternFill>
      </fill>
    </dxf>
    <dxf>
      <font>
        <color theme="2" tint="-9.9948118533890809E-2"/>
      </font>
      <fill>
        <patternFill>
          <bgColor theme="2" tint="-9.9948118533890809E-2"/>
        </patternFill>
      </fill>
    </dxf>
    <dxf>
      <font>
        <color theme="2" tint="-9.9948118533890809E-2"/>
      </font>
      <fill>
        <patternFill>
          <bgColor theme="2" tint="-9.9948118533890809E-2"/>
        </patternFill>
      </fill>
    </dxf>
  </dxfs>
  <tableStyles count="0" defaultTableStyle="TableStyleMedium2" defaultPivotStyle="PivotStyleLight16"/>
  <colors>
    <mruColors>
      <color rgb="FF78909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352979</xdr:colOff>
      <xdr:row>1</xdr:row>
      <xdr:rowOff>14111</xdr:rowOff>
    </xdr:from>
    <xdr:to>
      <xdr:col>3</xdr:col>
      <xdr:colOff>319348</xdr:colOff>
      <xdr:row>2</xdr:row>
      <xdr:rowOff>186619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27117A-D882-FC08-2752-155C9CE91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8868" y="218722"/>
          <a:ext cx="1463120" cy="359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65"/>
  <sheetViews>
    <sheetView tabSelected="1" topLeftCell="A27" zoomScale="85" zoomScaleNormal="85" workbookViewId="0">
      <selection activeCell="M16" sqref="M16:N85"/>
    </sheetView>
  </sheetViews>
  <sheetFormatPr baseColWidth="10" defaultColWidth="17.33203125" defaultRowHeight="15" customHeight="1" x14ac:dyDescent="0.2"/>
  <cols>
    <col min="1" max="1" width="23" customWidth="1"/>
    <col min="2" max="2" width="10.1640625" customWidth="1"/>
    <col min="3" max="3" width="19.5" bestFit="1" customWidth="1"/>
    <col min="4" max="6" width="6.6640625" customWidth="1"/>
    <col min="7" max="7" width="7.6640625" customWidth="1"/>
    <col min="8" max="9" width="6.6640625" customWidth="1"/>
    <col min="10" max="10" width="9.6640625" customWidth="1"/>
    <col min="11" max="11" width="9.33203125" bestFit="1" customWidth="1"/>
    <col min="12" max="12" width="14.33203125" style="33" customWidth="1"/>
    <col min="13" max="13" width="8.6640625" customWidth="1"/>
    <col min="14" max="14" width="14.33203125" bestFit="1" customWidth="1"/>
    <col min="15" max="26" width="8.6640625" customWidth="1"/>
  </cols>
  <sheetData>
    <row r="1" spans="1:14" ht="16.5" customHeight="1" x14ac:dyDescent="0.2">
      <c r="A1" s="66" t="s">
        <v>20</v>
      </c>
      <c r="B1" s="62"/>
      <c r="G1" s="21" t="s">
        <v>0</v>
      </c>
      <c r="H1" s="27"/>
      <c r="I1" s="27"/>
    </row>
    <row r="2" spans="1:14" x14ac:dyDescent="0.2">
      <c r="A2" s="67" t="s">
        <v>25</v>
      </c>
      <c r="B2" s="65"/>
      <c r="G2" s="29">
        <v>46232</v>
      </c>
      <c r="H2" s="28"/>
      <c r="I2" s="28"/>
    </row>
    <row r="3" spans="1:14" ht="16.5" customHeight="1" x14ac:dyDescent="0.2">
      <c r="A3" s="67" t="s">
        <v>26</v>
      </c>
      <c r="B3" s="65"/>
      <c r="G3" s="1"/>
      <c r="H3" s="1"/>
      <c r="J3" s="2"/>
      <c r="K3" s="2"/>
    </row>
    <row r="4" spans="1:14" x14ac:dyDescent="0.2">
      <c r="A4" s="63" t="s">
        <v>27</v>
      </c>
      <c r="B4" s="65"/>
      <c r="G4" s="22" t="s">
        <v>1</v>
      </c>
      <c r="H4" s="22"/>
      <c r="I4" s="22"/>
      <c r="J4" s="27"/>
    </row>
    <row r="5" spans="1:14" x14ac:dyDescent="0.2">
      <c r="A5" s="63" t="s">
        <v>28</v>
      </c>
      <c r="B5" s="65"/>
      <c r="G5" s="30" t="s">
        <v>371</v>
      </c>
      <c r="H5" s="28"/>
      <c r="I5" s="28"/>
      <c r="J5" s="28"/>
    </row>
    <row r="6" spans="1:14" x14ac:dyDescent="0.2"/>
    <row r="7" spans="1:14" ht="15.75" customHeight="1" x14ac:dyDescent="0.2">
      <c r="A7" s="57" t="s">
        <v>2</v>
      </c>
      <c r="B7" s="58"/>
      <c r="G7" s="57" t="s">
        <v>3</v>
      </c>
      <c r="H7" s="59"/>
      <c r="I7" s="59"/>
      <c r="J7" s="58"/>
    </row>
    <row r="8" spans="1:14" x14ac:dyDescent="0.2">
      <c r="A8" s="71" t="s">
        <v>314</v>
      </c>
      <c r="B8" s="72"/>
      <c r="G8" s="60" t="s">
        <v>20</v>
      </c>
      <c r="H8" s="61"/>
      <c r="I8" s="61"/>
      <c r="J8" s="62"/>
    </row>
    <row r="9" spans="1:14" x14ac:dyDescent="0.2">
      <c r="A9" s="11" t="s">
        <v>315</v>
      </c>
      <c r="G9" s="63" t="s">
        <v>21</v>
      </c>
      <c r="H9" s="64"/>
      <c r="I9" s="64"/>
      <c r="J9" s="65"/>
    </row>
    <row r="10" spans="1:14" x14ac:dyDescent="0.2">
      <c r="A10" s="11" t="s">
        <v>316</v>
      </c>
      <c r="G10" s="63" t="s">
        <v>22</v>
      </c>
      <c r="H10" s="64"/>
      <c r="I10" s="64"/>
      <c r="J10" s="65"/>
    </row>
    <row r="11" spans="1:14" x14ac:dyDescent="0.2">
      <c r="A11" s="73" t="s">
        <v>317</v>
      </c>
      <c r="B11" s="69"/>
      <c r="G11" s="63" t="s">
        <v>23</v>
      </c>
      <c r="H11" s="64"/>
      <c r="I11" s="64"/>
      <c r="J11" s="65"/>
    </row>
    <row r="12" spans="1:14" x14ac:dyDescent="0.2">
      <c r="G12" s="63" t="s">
        <v>24</v>
      </c>
      <c r="H12" s="64"/>
      <c r="I12" s="64"/>
      <c r="J12" s="65"/>
    </row>
    <row r="13" spans="1:14" x14ac:dyDescent="0.2"/>
    <row r="14" spans="1:14" x14ac:dyDescent="0.2">
      <c r="D14" s="80" t="s">
        <v>4</v>
      </c>
      <c r="E14" s="81"/>
      <c r="F14" s="81"/>
      <c r="G14" s="81"/>
      <c r="H14" s="81"/>
      <c r="I14" s="81"/>
      <c r="J14" s="81"/>
      <c r="K14" s="81"/>
    </row>
    <row r="15" spans="1:14" ht="30" customHeight="1" x14ac:dyDescent="0.2">
      <c r="A15" s="23" t="s">
        <v>5</v>
      </c>
      <c r="B15" s="24" t="s">
        <v>6</v>
      </c>
      <c r="C15" s="24" t="s">
        <v>7</v>
      </c>
      <c r="D15" s="25" t="s">
        <v>8</v>
      </c>
      <c r="E15" s="25" t="s">
        <v>9</v>
      </c>
      <c r="F15" s="25" t="s">
        <v>10</v>
      </c>
      <c r="G15" s="25" t="s">
        <v>11</v>
      </c>
      <c r="H15" s="25" t="s">
        <v>12</v>
      </c>
      <c r="I15" s="26" t="s">
        <v>35</v>
      </c>
      <c r="J15" s="26" t="s">
        <v>36</v>
      </c>
      <c r="K15" s="26" t="s">
        <v>37</v>
      </c>
      <c r="L15" s="34" t="s">
        <v>13</v>
      </c>
      <c r="M15" s="25" t="s">
        <v>14</v>
      </c>
      <c r="N15" s="25" t="s">
        <v>15</v>
      </c>
    </row>
    <row r="16" spans="1:14" x14ac:dyDescent="0.2">
      <c r="A16" s="13" t="s">
        <v>280</v>
      </c>
      <c r="B16" s="14" t="str">
        <f>VLOOKUP(A16,Data!$A:$B,2,FALSE)</f>
        <v>W5369</v>
      </c>
      <c r="C16" s="15" t="s">
        <v>365</v>
      </c>
      <c r="D16" s="12">
        <v>45</v>
      </c>
      <c r="E16" s="12">
        <v>190</v>
      </c>
      <c r="F16" s="12">
        <v>625</v>
      </c>
      <c r="G16" s="12">
        <v>675</v>
      </c>
      <c r="H16" s="12">
        <v>475</v>
      </c>
      <c r="I16" s="12">
        <v>300</v>
      </c>
      <c r="J16" s="12">
        <v>150</v>
      </c>
      <c r="K16" s="12">
        <v>45</v>
      </c>
      <c r="L16" s="50">
        <f>SUM(D16:K16)</f>
        <v>2505</v>
      </c>
      <c r="M16" s="19"/>
      <c r="N16" s="31"/>
    </row>
    <row r="17" spans="1:14" x14ac:dyDescent="0.2">
      <c r="A17" s="13" t="s">
        <v>280</v>
      </c>
      <c r="B17" s="14" t="str">
        <f>VLOOKUP(A17,Data!$A:$B,2,FALSE)</f>
        <v>W5369</v>
      </c>
      <c r="C17" s="15" t="s">
        <v>372</v>
      </c>
      <c r="D17" s="12">
        <v>45</v>
      </c>
      <c r="E17" s="12">
        <v>190</v>
      </c>
      <c r="F17" s="12">
        <v>625</v>
      </c>
      <c r="G17" s="12">
        <v>675</v>
      </c>
      <c r="H17" s="12">
        <v>475</v>
      </c>
      <c r="I17" s="12">
        <v>300</v>
      </c>
      <c r="J17" s="12">
        <v>150</v>
      </c>
      <c r="K17" s="12">
        <v>45</v>
      </c>
      <c r="L17" s="35">
        <f>SUM(D17:K17)</f>
        <v>2505</v>
      </c>
      <c r="M17" s="19"/>
      <c r="N17" s="31"/>
    </row>
    <row r="18" spans="1:14" x14ac:dyDescent="0.2">
      <c r="A18" s="13" t="s">
        <v>280</v>
      </c>
      <c r="B18" s="14" t="str">
        <f>VLOOKUP(A18,Data!$A:$B,2,FALSE)</f>
        <v>W5369</v>
      </c>
      <c r="C18" s="15" t="s">
        <v>366</v>
      </c>
      <c r="D18" s="12">
        <v>30</v>
      </c>
      <c r="E18" s="12">
        <v>135</v>
      </c>
      <c r="F18" s="12">
        <v>440</v>
      </c>
      <c r="G18" s="12">
        <v>475</v>
      </c>
      <c r="H18" s="12">
        <v>335</v>
      </c>
      <c r="I18" s="12">
        <v>210</v>
      </c>
      <c r="J18" s="12">
        <v>105</v>
      </c>
      <c r="K18" s="12">
        <v>35</v>
      </c>
      <c r="L18" s="35">
        <f t="shared" ref="L18" si="0">SUM(D18:K18)</f>
        <v>1765</v>
      </c>
      <c r="M18" s="19"/>
      <c r="N18" s="31"/>
    </row>
    <row r="19" spans="1:14" x14ac:dyDescent="0.2">
      <c r="A19" s="13" t="s">
        <v>280</v>
      </c>
      <c r="B19" s="14" t="str">
        <f>VLOOKUP(A19,Data!$A:$B,2,FALSE)</f>
        <v>W5369</v>
      </c>
      <c r="C19" s="15" t="s">
        <v>367</v>
      </c>
      <c r="D19" s="12">
        <v>30</v>
      </c>
      <c r="E19" s="12">
        <v>135</v>
      </c>
      <c r="F19" s="12">
        <v>440</v>
      </c>
      <c r="G19" s="12">
        <v>475</v>
      </c>
      <c r="H19" s="12">
        <v>335</v>
      </c>
      <c r="I19" s="12">
        <v>210</v>
      </c>
      <c r="J19" s="12">
        <v>105</v>
      </c>
      <c r="K19" s="12">
        <v>35</v>
      </c>
      <c r="L19" s="35">
        <f t="shared" ref="L19:L22" si="1">SUM(D19:K19)</f>
        <v>1765</v>
      </c>
      <c r="M19" s="19"/>
      <c r="N19" s="31"/>
    </row>
    <row r="20" spans="1:14" x14ac:dyDescent="0.2">
      <c r="A20" s="13" t="s">
        <v>280</v>
      </c>
      <c r="B20" s="14" t="str">
        <f>VLOOKUP(A20,Data!$A:$B,2,FALSE)</f>
        <v>W5369</v>
      </c>
      <c r="C20" s="15" t="s">
        <v>368</v>
      </c>
      <c r="D20" s="12">
        <v>25</v>
      </c>
      <c r="E20" s="12">
        <v>105</v>
      </c>
      <c r="F20" s="12">
        <v>345</v>
      </c>
      <c r="G20" s="12">
        <v>375</v>
      </c>
      <c r="H20" s="12">
        <v>265</v>
      </c>
      <c r="I20" s="12">
        <v>165</v>
      </c>
      <c r="J20" s="12">
        <v>85</v>
      </c>
      <c r="K20" s="12">
        <v>25</v>
      </c>
      <c r="L20" s="35">
        <f t="shared" si="1"/>
        <v>1390</v>
      </c>
      <c r="M20" s="19"/>
      <c r="N20" s="31"/>
    </row>
    <row r="21" spans="1:14" x14ac:dyDescent="0.2">
      <c r="A21" s="13" t="s">
        <v>280</v>
      </c>
      <c r="B21" s="14" t="str">
        <f>VLOOKUP(A21,Data!$A:$B,2,FALSE)</f>
        <v>W5369</v>
      </c>
      <c r="C21" s="15" t="s">
        <v>369</v>
      </c>
      <c r="D21" s="12">
        <v>25</v>
      </c>
      <c r="E21" s="12">
        <v>105</v>
      </c>
      <c r="F21" s="12">
        <v>345</v>
      </c>
      <c r="G21" s="12">
        <v>375</v>
      </c>
      <c r="H21" s="12">
        <v>265</v>
      </c>
      <c r="I21" s="12">
        <v>165</v>
      </c>
      <c r="J21" s="12">
        <v>85</v>
      </c>
      <c r="K21" s="12">
        <v>25</v>
      </c>
      <c r="L21" s="35">
        <f t="shared" si="1"/>
        <v>1390</v>
      </c>
      <c r="M21" s="19"/>
      <c r="N21" s="31"/>
    </row>
    <row r="22" spans="1:14" x14ac:dyDescent="0.2">
      <c r="A22" s="13" t="s">
        <v>280</v>
      </c>
      <c r="B22" s="14" t="str">
        <f>VLOOKUP(A22,Data!$A:$B,2,FALSE)</f>
        <v>W5369</v>
      </c>
      <c r="C22" s="55" t="s">
        <v>370</v>
      </c>
      <c r="D22" s="12">
        <v>30</v>
      </c>
      <c r="E22" s="12">
        <v>125</v>
      </c>
      <c r="F22" s="12">
        <v>410</v>
      </c>
      <c r="G22" s="12">
        <v>440</v>
      </c>
      <c r="H22" s="12">
        <v>310</v>
      </c>
      <c r="I22" s="12">
        <v>195</v>
      </c>
      <c r="J22" s="12">
        <v>100</v>
      </c>
      <c r="K22" s="12">
        <v>30</v>
      </c>
      <c r="L22" s="56">
        <f t="shared" si="1"/>
        <v>1640</v>
      </c>
      <c r="M22" s="19"/>
      <c r="N22" s="31"/>
    </row>
    <row r="23" spans="1:14" x14ac:dyDescent="0.2">
      <c r="A23" s="51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3"/>
    </row>
    <row r="24" spans="1:14" x14ac:dyDescent="0.2">
      <c r="A24" s="13" t="s">
        <v>258</v>
      </c>
      <c r="B24" s="14" t="str">
        <f>VLOOKUP(A24,Data!$A:$B,2,FALSE)</f>
        <v>W5355</v>
      </c>
      <c r="C24" s="15" t="s">
        <v>365</v>
      </c>
      <c r="D24" s="12">
        <v>55</v>
      </c>
      <c r="E24" s="12">
        <v>210</v>
      </c>
      <c r="F24" s="12">
        <v>380</v>
      </c>
      <c r="G24" s="12">
        <v>365</v>
      </c>
      <c r="H24" s="12">
        <v>170</v>
      </c>
      <c r="I24" s="12">
        <v>95</v>
      </c>
      <c r="J24" s="12">
        <v>40</v>
      </c>
      <c r="K24" s="12"/>
      <c r="L24" s="50">
        <f>SUM(D24:K24)</f>
        <v>1315</v>
      </c>
      <c r="M24" s="19"/>
      <c r="N24" s="31"/>
    </row>
    <row r="25" spans="1:14" x14ac:dyDescent="0.2">
      <c r="A25" s="13" t="s">
        <v>258</v>
      </c>
      <c r="B25" s="14" t="str">
        <f>VLOOKUP(A25,Data!$A:$B,2,FALSE)</f>
        <v>W5355</v>
      </c>
      <c r="C25" s="15" t="s">
        <v>372</v>
      </c>
      <c r="D25" s="12">
        <v>55</v>
      </c>
      <c r="E25" s="12">
        <v>210</v>
      </c>
      <c r="F25" s="12">
        <v>380</v>
      </c>
      <c r="G25" s="12">
        <v>365</v>
      </c>
      <c r="H25" s="12">
        <v>170</v>
      </c>
      <c r="I25" s="12">
        <v>95</v>
      </c>
      <c r="J25" s="12">
        <v>40</v>
      </c>
      <c r="K25" s="12"/>
      <c r="L25" s="35">
        <f>SUM(D25:K25)</f>
        <v>1315</v>
      </c>
      <c r="M25" s="19"/>
      <c r="N25" s="31"/>
    </row>
    <row r="26" spans="1:14" x14ac:dyDescent="0.2">
      <c r="A26" s="13" t="s">
        <v>258</v>
      </c>
      <c r="B26" s="14" t="str">
        <f>VLOOKUP(A26,Data!$A:$B,2,FALSE)</f>
        <v>W5355</v>
      </c>
      <c r="C26" s="15" t="s">
        <v>366</v>
      </c>
      <c r="D26" s="12">
        <v>40</v>
      </c>
      <c r="E26" s="12">
        <v>150</v>
      </c>
      <c r="F26" s="12">
        <v>265</v>
      </c>
      <c r="G26" s="12">
        <v>255</v>
      </c>
      <c r="H26" s="12">
        <v>120</v>
      </c>
      <c r="I26" s="12">
        <v>65</v>
      </c>
      <c r="J26" s="12">
        <v>30</v>
      </c>
      <c r="K26" s="12"/>
      <c r="L26" s="35">
        <f t="shared" ref="L26:L30" si="2">SUM(D26:K26)</f>
        <v>925</v>
      </c>
      <c r="M26" s="19"/>
      <c r="N26" s="31"/>
    </row>
    <row r="27" spans="1:14" x14ac:dyDescent="0.2">
      <c r="A27" s="13" t="s">
        <v>258</v>
      </c>
      <c r="B27" s="14" t="str">
        <f>VLOOKUP(A27,Data!$A:$B,2,FALSE)</f>
        <v>W5355</v>
      </c>
      <c r="C27" s="15" t="s">
        <v>367</v>
      </c>
      <c r="D27" s="12">
        <v>40</v>
      </c>
      <c r="E27" s="12">
        <v>150</v>
      </c>
      <c r="F27" s="12">
        <v>265</v>
      </c>
      <c r="G27" s="12">
        <v>255</v>
      </c>
      <c r="H27" s="12">
        <v>120</v>
      </c>
      <c r="I27" s="12">
        <v>65</v>
      </c>
      <c r="J27" s="12">
        <v>30</v>
      </c>
      <c r="K27" s="12"/>
      <c r="L27" s="35">
        <f t="shared" si="2"/>
        <v>925</v>
      </c>
      <c r="M27" s="19"/>
      <c r="N27" s="31"/>
    </row>
    <row r="28" spans="1:14" x14ac:dyDescent="0.2">
      <c r="A28" s="13" t="s">
        <v>258</v>
      </c>
      <c r="B28" s="14" t="str">
        <f>VLOOKUP(A28,Data!$A:$B,2,FALSE)</f>
        <v>W5355</v>
      </c>
      <c r="C28" s="15" t="s">
        <v>368</v>
      </c>
      <c r="D28" s="12">
        <v>30</v>
      </c>
      <c r="E28" s="12">
        <v>115</v>
      </c>
      <c r="F28" s="12">
        <v>210</v>
      </c>
      <c r="G28" s="12">
        <v>200</v>
      </c>
      <c r="H28" s="12">
        <v>95</v>
      </c>
      <c r="I28" s="12">
        <v>50</v>
      </c>
      <c r="J28" s="12">
        <v>25</v>
      </c>
      <c r="K28" s="12"/>
      <c r="L28" s="35">
        <f t="shared" si="2"/>
        <v>725</v>
      </c>
      <c r="M28" s="19"/>
      <c r="N28" s="31"/>
    </row>
    <row r="29" spans="1:14" x14ac:dyDescent="0.2">
      <c r="A29" s="13" t="s">
        <v>258</v>
      </c>
      <c r="B29" s="14" t="str">
        <f>VLOOKUP(A29,Data!$A:$B,2,FALSE)</f>
        <v>W5355</v>
      </c>
      <c r="C29" s="15" t="s">
        <v>369</v>
      </c>
      <c r="D29" s="12">
        <v>30</v>
      </c>
      <c r="E29" s="12">
        <v>115</v>
      </c>
      <c r="F29" s="12">
        <v>210</v>
      </c>
      <c r="G29" s="12">
        <v>200</v>
      </c>
      <c r="H29" s="12">
        <v>95</v>
      </c>
      <c r="I29" s="12">
        <v>50</v>
      </c>
      <c r="J29" s="12">
        <v>25</v>
      </c>
      <c r="K29" s="12"/>
      <c r="L29" s="35">
        <f t="shared" si="2"/>
        <v>725</v>
      </c>
      <c r="M29" s="19"/>
      <c r="N29" s="31"/>
    </row>
    <row r="30" spans="1:14" x14ac:dyDescent="0.2">
      <c r="A30" s="13" t="s">
        <v>258</v>
      </c>
      <c r="B30" s="14" t="str">
        <f>VLOOKUP(A30,Data!$A:$B,2,FALSE)</f>
        <v>W5355</v>
      </c>
      <c r="C30" s="55" t="s">
        <v>370</v>
      </c>
      <c r="D30" s="12">
        <v>35</v>
      </c>
      <c r="E30" s="12">
        <v>145</v>
      </c>
      <c r="F30" s="12">
        <v>260</v>
      </c>
      <c r="G30" s="12">
        <v>250</v>
      </c>
      <c r="H30" s="12">
        <v>115</v>
      </c>
      <c r="I30" s="12">
        <v>65</v>
      </c>
      <c r="J30" s="12">
        <v>30</v>
      </c>
      <c r="K30" s="12"/>
      <c r="L30" s="56">
        <f t="shared" si="2"/>
        <v>900</v>
      </c>
      <c r="M30" s="19"/>
      <c r="N30" s="31"/>
    </row>
    <row r="31" spans="1:14" x14ac:dyDescent="0.2">
      <c r="A31" s="51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3"/>
    </row>
    <row r="32" spans="1:14" x14ac:dyDescent="0.2">
      <c r="A32" s="13" t="s">
        <v>244</v>
      </c>
      <c r="B32" s="14" t="str">
        <f>VLOOKUP(A32,Data!$A:$B,2,FALSE)</f>
        <v>W5333</v>
      </c>
      <c r="C32" s="15" t="s">
        <v>365</v>
      </c>
      <c r="D32" s="12"/>
      <c r="E32" s="12">
        <v>30</v>
      </c>
      <c r="F32" s="12">
        <v>90</v>
      </c>
      <c r="G32" s="12">
        <v>145</v>
      </c>
      <c r="H32" s="12">
        <v>160</v>
      </c>
      <c r="I32" s="12">
        <v>85</v>
      </c>
      <c r="J32" s="12">
        <v>60</v>
      </c>
      <c r="K32" s="12">
        <v>40</v>
      </c>
      <c r="L32" s="50">
        <f>SUM(D32:K32)</f>
        <v>610</v>
      </c>
      <c r="M32" s="19"/>
      <c r="N32" s="31"/>
    </row>
    <row r="33" spans="1:14" x14ac:dyDescent="0.2">
      <c r="A33" s="13" t="s">
        <v>244</v>
      </c>
      <c r="B33" s="14" t="str">
        <f>VLOOKUP(A33,Data!$A:$B,2,FALSE)</f>
        <v>W5333</v>
      </c>
      <c r="C33" s="15" t="s">
        <v>372</v>
      </c>
      <c r="D33" s="12"/>
      <c r="E33" s="12">
        <v>30</v>
      </c>
      <c r="F33" s="12">
        <v>90</v>
      </c>
      <c r="G33" s="12">
        <v>145</v>
      </c>
      <c r="H33" s="12">
        <v>160</v>
      </c>
      <c r="I33" s="12">
        <v>85</v>
      </c>
      <c r="J33" s="12">
        <v>60</v>
      </c>
      <c r="K33" s="12">
        <v>40</v>
      </c>
      <c r="L33" s="35">
        <f>SUM(D33:K33)</f>
        <v>610</v>
      </c>
      <c r="M33" s="19"/>
      <c r="N33" s="31"/>
    </row>
    <row r="34" spans="1:14" x14ac:dyDescent="0.2">
      <c r="A34" s="13" t="s">
        <v>244</v>
      </c>
      <c r="B34" s="14" t="str">
        <f>VLOOKUP(A34,Data!$A:$B,2,FALSE)</f>
        <v>W5333</v>
      </c>
      <c r="C34" s="15" t="s">
        <v>366</v>
      </c>
      <c r="D34" s="12"/>
      <c r="E34" s="12">
        <v>20</v>
      </c>
      <c r="F34" s="12">
        <v>65</v>
      </c>
      <c r="G34" s="12">
        <v>105</v>
      </c>
      <c r="H34" s="12">
        <v>115</v>
      </c>
      <c r="I34" s="12">
        <v>60</v>
      </c>
      <c r="J34" s="12">
        <v>45</v>
      </c>
      <c r="K34" s="12">
        <v>25</v>
      </c>
      <c r="L34" s="35">
        <f t="shared" ref="L34:L38" si="3">SUM(D34:K34)</f>
        <v>435</v>
      </c>
      <c r="M34" s="19"/>
      <c r="N34" s="31"/>
    </row>
    <row r="35" spans="1:14" x14ac:dyDescent="0.2">
      <c r="A35" s="13" t="s">
        <v>244</v>
      </c>
      <c r="B35" s="14" t="str">
        <f>VLOOKUP(A35,Data!$A:$B,2,FALSE)</f>
        <v>W5333</v>
      </c>
      <c r="C35" s="15" t="s">
        <v>367</v>
      </c>
      <c r="D35" s="12"/>
      <c r="E35" s="12">
        <v>20</v>
      </c>
      <c r="F35" s="12">
        <v>65</v>
      </c>
      <c r="G35" s="12">
        <v>105</v>
      </c>
      <c r="H35" s="12">
        <v>115</v>
      </c>
      <c r="I35" s="12">
        <v>60</v>
      </c>
      <c r="J35" s="12">
        <v>45</v>
      </c>
      <c r="K35" s="12">
        <v>25</v>
      </c>
      <c r="L35" s="35">
        <f t="shared" si="3"/>
        <v>435</v>
      </c>
      <c r="M35" s="19"/>
      <c r="N35" s="31"/>
    </row>
    <row r="36" spans="1:14" x14ac:dyDescent="0.2">
      <c r="A36" s="13" t="s">
        <v>244</v>
      </c>
      <c r="B36" s="14" t="str">
        <f>VLOOKUP(A36,Data!$A:$B,2,FALSE)</f>
        <v>W5333</v>
      </c>
      <c r="C36" s="15" t="s">
        <v>368</v>
      </c>
      <c r="D36" s="12"/>
      <c r="E36" s="12">
        <v>15</v>
      </c>
      <c r="F36" s="12">
        <v>50</v>
      </c>
      <c r="G36" s="12">
        <v>80</v>
      </c>
      <c r="H36" s="12">
        <v>90</v>
      </c>
      <c r="I36" s="12">
        <v>50</v>
      </c>
      <c r="J36" s="12">
        <v>35</v>
      </c>
      <c r="K36" s="12">
        <v>20</v>
      </c>
      <c r="L36" s="35">
        <f t="shared" si="3"/>
        <v>340</v>
      </c>
      <c r="M36" s="19"/>
      <c r="N36" s="31"/>
    </row>
    <row r="37" spans="1:14" x14ac:dyDescent="0.2">
      <c r="A37" s="13" t="s">
        <v>244</v>
      </c>
      <c r="B37" s="14" t="str">
        <f>VLOOKUP(A37,Data!$A:$B,2,FALSE)</f>
        <v>W5333</v>
      </c>
      <c r="C37" s="15" t="s">
        <v>369</v>
      </c>
      <c r="D37" s="12"/>
      <c r="E37" s="12">
        <v>15</v>
      </c>
      <c r="F37" s="12">
        <v>50</v>
      </c>
      <c r="G37" s="12">
        <v>80</v>
      </c>
      <c r="H37" s="12">
        <v>90</v>
      </c>
      <c r="I37" s="12">
        <v>50</v>
      </c>
      <c r="J37" s="12">
        <v>35</v>
      </c>
      <c r="K37" s="12">
        <v>20</v>
      </c>
      <c r="L37" s="35">
        <f t="shared" si="3"/>
        <v>340</v>
      </c>
      <c r="M37" s="19"/>
      <c r="N37" s="31"/>
    </row>
    <row r="38" spans="1:14" x14ac:dyDescent="0.2">
      <c r="A38" s="13" t="s">
        <v>244</v>
      </c>
      <c r="B38" s="14" t="str">
        <f>VLOOKUP(A38,Data!$A:$B,2,FALSE)</f>
        <v>W5333</v>
      </c>
      <c r="C38" s="15" t="s">
        <v>370</v>
      </c>
      <c r="D38" s="12"/>
      <c r="E38" s="12">
        <v>15</v>
      </c>
      <c r="F38" s="12">
        <v>50</v>
      </c>
      <c r="G38" s="12">
        <v>80</v>
      </c>
      <c r="H38" s="12">
        <v>90</v>
      </c>
      <c r="I38" s="12">
        <v>50</v>
      </c>
      <c r="J38" s="12">
        <v>35</v>
      </c>
      <c r="K38" s="12">
        <v>20</v>
      </c>
      <c r="L38" s="35">
        <f t="shared" si="3"/>
        <v>340</v>
      </c>
      <c r="M38" s="19"/>
      <c r="N38" s="31"/>
    </row>
    <row r="39" spans="1:14" x14ac:dyDescent="0.2">
      <c r="A39" s="51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3"/>
    </row>
    <row r="40" spans="1:14" x14ac:dyDescent="0.2">
      <c r="A40" s="13" t="s">
        <v>231</v>
      </c>
      <c r="B40" s="14" t="str">
        <f>VLOOKUP(A40,Data!$A:$B,2,FALSE)</f>
        <v>W5091</v>
      </c>
      <c r="C40" s="15" t="s">
        <v>365</v>
      </c>
      <c r="D40" s="12"/>
      <c r="E40" s="12">
        <v>30</v>
      </c>
      <c r="F40" s="12">
        <v>100</v>
      </c>
      <c r="G40" s="12">
        <v>130</v>
      </c>
      <c r="H40" s="12">
        <v>105</v>
      </c>
      <c r="I40" s="12">
        <v>75</v>
      </c>
      <c r="J40" s="12">
        <v>40</v>
      </c>
      <c r="K40" s="12">
        <v>25</v>
      </c>
      <c r="L40" s="50">
        <f>SUM(D40:K40)</f>
        <v>505</v>
      </c>
      <c r="M40" s="19"/>
      <c r="N40" s="31"/>
    </row>
    <row r="41" spans="1:14" x14ac:dyDescent="0.2">
      <c r="A41" s="13" t="s">
        <v>231</v>
      </c>
      <c r="B41" s="14" t="str">
        <f>VLOOKUP(A41,Data!$A:$B,2,FALSE)</f>
        <v>W5091</v>
      </c>
      <c r="C41" s="15" t="s">
        <v>372</v>
      </c>
      <c r="D41" s="12"/>
      <c r="E41" s="12">
        <v>30</v>
      </c>
      <c r="F41" s="12">
        <v>100</v>
      </c>
      <c r="G41" s="12">
        <v>130</v>
      </c>
      <c r="H41" s="12">
        <v>105</v>
      </c>
      <c r="I41" s="12">
        <v>75</v>
      </c>
      <c r="J41" s="12">
        <v>40</v>
      </c>
      <c r="K41" s="12">
        <v>25</v>
      </c>
      <c r="L41" s="35">
        <f>SUM(D41:K41)</f>
        <v>505</v>
      </c>
      <c r="M41" s="19"/>
      <c r="N41" s="31"/>
    </row>
    <row r="42" spans="1:14" x14ac:dyDescent="0.2">
      <c r="A42" s="13" t="s">
        <v>231</v>
      </c>
      <c r="B42" s="14" t="str">
        <f>VLOOKUP(A42,Data!$A:$B,2,FALSE)</f>
        <v>W5091</v>
      </c>
      <c r="C42" s="15" t="s">
        <v>366</v>
      </c>
      <c r="D42" s="12"/>
      <c r="E42" s="12">
        <v>25</v>
      </c>
      <c r="F42" s="12">
        <v>70</v>
      </c>
      <c r="G42" s="12">
        <v>95</v>
      </c>
      <c r="H42" s="12">
        <v>75</v>
      </c>
      <c r="I42" s="12">
        <v>55</v>
      </c>
      <c r="J42" s="12">
        <v>30</v>
      </c>
      <c r="K42" s="12">
        <v>20</v>
      </c>
      <c r="L42" s="35">
        <f t="shared" ref="L42" si="4">SUM(D42:K42)</f>
        <v>370</v>
      </c>
      <c r="M42" s="19"/>
      <c r="N42" s="31"/>
    </row>
    <row r="43" spans="1:14" x14ac:dyDescent="0.2">
      <c r="A43" s="13" t="s">
        <v>231</v>
      </c>
      <c r="B43" s="14" t="str">
        <f>VLOOKUP(A43,Data!$A:$B,2,FALSE)</f>
        <v>W5091</v>
      </c>
      <c r="C43" s="15" t="s">
        <v>367</v>
      </c>
      <c r="D43" s="12"/>
      <c r="E43" s="12">
        <v>25</v>
      </c>
      <c r="F43" s="12">
        <v>70</v>
      </c>
      <c r="G43" s="12">
        <v>95</v>
      </c>
      <c r="H43" s="12">
        <v>75</v>
      </c>
      <c r="I43" s="12">
        <v>55</v>
      </c>
      <c r="J43" s="12">
        <v>30</v>
      </c>
      <c r="K43" s="12">
        <v>20</v>
      </c>
      <c r="L43" s="35">
        <f t="shared" ref="L43:L46" si="5">SUM(D43:K43)</f>
        <v>370</v>
      </c>
      <c r="M43" s="19"/>
      <c r="N43" s="31"/>
    </row>
    <row r="44" spans="1:14" x14ac:dyDescent="0.2">
      <c r="A44" s="13" t="s">
        <v>231</v>
      </c>
      <c r="B44" s="14" t="str">
        <f>VLOOKUP(A44,Data!$A:$B,2,FALSE)</f>
        <v>W5091</v>
      </c>
      <c r="C44" s="15" t="s">
        <v>368</v>
      </c>
      <c r="D44" s="12"/>
      <c r="E44" s="12">
        <v>20</v>
      </c>
      <c r="F44" s="12">
        <v>55</v>
      </c>
      <c r="G44" s="12">
        <v>75</v>
      </c>
      <c r="H44" s="12">
        <v>60</v>
      </c>
      <c r="I44" s="12">
        <v>40</v>
      </c>
      <c r="J44" s="12">
        <v>25</v>
      </c>
      <c r="K44" s="12">
        <v>15</v>
      </c>
      <c r="L44" s="35">
        <f t="shared" si="5"/>
        <v>290</v>
      </c>
      <c r="M44" s="19"/>
      <c r="N44" s="31"/>
    </row>
    <row r="45" spans="1:14" x14ac:dyDescent="0.2">
      <c r="A45" s="13" t="s">
        <v>231</v>
      </c>
      <c r="B45" s="14" t="str">
        <f>VLOOKUP(A45,Data!$A:$B,2,FALSE)</f>
        <v>W5091</v>
      </c>
      <c r="C45" s="15" t="s">
        <v>369</v>
      </c>
      <c r="D45" s="12"/>
      <c r="E45" s="12">
        <v>20</v>
      </c>
      <c r="F45" s="12">
        <v>55</v>
      </c>
      <c r="G45" s="12">
        <v>75</v>
      </c>
      <c r="H45" s="12">
        <v>60</v>
      </c>
      <c r="I45" s="12">
        <v>40</v>
      </c>
      <c r="J45" s="12">
        <v>25</v>
      </c>
      <c r="K45" s="12">
        <v>15</v>
      </c>
      <c r="L45" s="35">
        <f t="shared" si="5"/>
        <v>290</v>
      </c>
      <c r="M45" s="19"/>
      <c r="N45" s="31"/>
    </row>
    <row r="46" spans="1:14" x14ac:dyDescent="0.2">
      <c r="A46" s="13" t="s">
        <v>231</v>
      </c>
      <c r="B46" s="14" t="str">
        <f>VLOOKUP(A46,Data!$A:$B,2,FALSE)</f>
        <v>W5091</v>
      </c>
      <c r="C46" s="15" t="s">
        <v>370</v>
      </c>
      <c r="D46" s="12"/>
      <c r="E46" s="12">
        <v>20</v>
      </c>
      <c r="F46" s="12">
        <v>55</v>
      </c>
      <c r="G46" s="12">
        <v>75</v>
      </c>
      <c r="H46" s="12">
        <v>60</v>
      </c>
      <c r="I46" s="12">
        <v>40</v>
      </c>
      <c r="J46" s="12">
        <v>25</v>
      </c>
      <c r="K46" s="12">
        <v>15</v>
      </c>
      <c r="L46" s="35">
        <f t="shared" si="5"/>
        <v>290</v>
      </c>
      <c r="M46" s="19"/>
      <c r="N46" s="31"/>
    </row>
    <row r="47" spans="1:14" x14ac:dyDescent="0.2">
      <c r="A47" s="51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3"/>
    </row>
    <row r="48" spans="1:14" x14ac:dyDescent="0.2">
      <c r="A48" s="13" t="s">
        <v>214</v>
      </c>
      <c r="B48" s="14" t="str">
        <f>VLOOKUP(A48,Data!$A:$B,2,FALSE)</f>
        <v>W5555</v>
      </c>
      <c r="C48" s="15" t="s">
        <v>365</v>
      </c>
      <c r="D48" s="12"/>
      <c r="E48" s="12">
        <v>35</v>
      </c>
      <c r="F48" s="12">
        <v>70</v>
      </c>
      <c r="G48" s="12">
        <v>75</v>
      </c>
      <c r="H48" s="12">
        <v>60</v>
      </c>
      <c r="I48" s="12">
        <v>45</v>
      </c>
      <c r="J48" s="12">
        <v>25</v>
      </c>
      <c r="K48" s="12"/>
      <c r="L48" s="50">
        <f>SUM(D48:K48)</f>
        <v>310</v>
      </c>
      <c r="M48" s="19"/>
      <c r="N48" s="31"/>
    </row>
    <row r="49" spans="1:14" x14ac:dyDescent="0.2">
      <c r="A49" s="13" t="s">
        <v>214</v>
      </c>
      <c r="B49" s="14" t="str">
        <f>VLOOKUP(A49,Data!$A:$B,2,FALSE)</f>
        <v>W5555</v>
      </c>
      <c r="C49" s="15" t="s">
        <v>372</v>
      </c>
      <c r="D49" s="12"/>
      <c r="E49" s="12">
        <v>35</v>
      </c>
      <c r="F49" s="12">
        <v>70</v>
      </c>
      <c r="G49" s="12">
        <v>75</v>
      </c>
      <c r="H49" s="12">
        <v>60</v>
      </c>
      <c r="I49" s="12">
        <v>45</v>
      </c>
      <c r="J49" s="12">
        <v>25</v>
      </c>
      <c r="K49" s="12"/>
      <c r="L49" s="50">
        <f t="shared" ref="L49:L50" si="6">SUM(D49:K49)</f>
        <v>310</v>
      </c>
      <c r="M49" s="19"/>
      <c r="N49" s="31"/>
    </row>
    <row r="50" spans="1:14" x14ac:dyDescent="0.2">
      <c r="A50" s="13" t="s">
        <v>214</v>
      </c>
      <c r="B50" s="14" t="str">
        <f>VLOOKUP(A50,Data!$A:$B,2,FALSE)</f>
        <v>W5555</v>
      </c>
      <c r="C50" s="15" t="s">
        <v>368</v>
      </c>
      <c r="D50" s="12"/>
      <c r="E50" s="12">
        <v>25</v>
      </c>
      <c r="F50" s="12">
        <v>50</v>
      </c>
      <c r="G50" s="12">
        <v>50</v>
      </c>
      <c r="H50" s="12">
        <v>40</v>
      </c>
      <c r="I50" s="12">
        <v>30</v>
      </c>
      <c r="J50" s="12">
        <v>20</v>
      </c>
      <c r="K50" s="12"/>
      <c r="L50" s="50">
        <f t="shared" si="6"/>
        <v>215</v>
      </c>
      <c r="M50" s="19"/>
      <c r="N50" s="31"/>
    </row>
    <row r="51" spans="1:14" x14ac:dyDescent="0.2">
      <c r="A51" s="51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3"/>
    </row>
    <row r="52" spans="1:14" x14ac:dyDescent="0.2">
      <c r="A52" s="13" t="s">
        <v>183</v>
      </c>
      <c r="B52" s="14" t="str">
        <f>VLOOKUP(A52,Data!$A:$B,2,FALSE)</f>
        <v>W4540</v>
      </c>
      <c r="C52" s="15" t="s">
        <v>365</v>
      </c>
      <c r="D52" s="12">
        <v>20</v>
      </c>
      <c r="E52" s="12">
        <v>60</v>
      </c>
      <c r="F52" s="12">
        <v>130</v>
      </c>
      <c r="G52" s="12">
        <v>110</v>
      </c>
      <c r="H52" s="12">
        <v>55</v>
      </c>
      <c r="I52" s="12">
        <v>30</v>
      </c>
      <c r="J52" s="12">
        <v>15</v>
      </c>
      <c r="K52" s="12"/>
      <c r="L52" s="50">
        <f>SUM(D52:K52)</f>
        <v>420</v>
      </c>
      <c r="M52" s="19"/>
      <c r="N52" s="31"/>
    </row>
    <row r="53" spans="1:14" x14ac:dyDescent="0.2">
      <c r="A53" s="13" t="s">
        <v>183</v>
      </c>
      <c r="B53" s="14" t="str">
        <f>VLOOKUP(A53,Data!$A:$B,2,FALSE)</f>
        <v>W4540</v>
      </c>
      <c r="C53" s="15" t="s">
        <v>372</v>
      </c>
      <c r="D53" s="12">
        <v>20</v>
      </c>
      <c r="E53" s="12">
        <v>60</v>
      </c>
      <c r="F53" s="12">
        <v>130</v>
      </c>
      <c r="G53" s="12">
        <v>110</v>
      </c>
      <c r="H53" s="12">
        <v>55</v>
      </c>
      <c r="I53" s="12">
        <v>30</v>
      </c>
      <c r="J53" s="12">
        <v>15</v>
      </c>
      <c r="K53" s="12"/>
      <c r="L53" s="35">
        <f>SUM(D53:K53)</f>
        <v>420</v>
      </c>
      <c r="M53" s="19"/>
      <c r="N53" s="31"/>
    </row>
    <row r="54" spans="1:14" x14ac:dyDescent="0.2">
      <c r="A54" s="13" t="s">
        <v>183</v>
      </c>
      <c r="B54" s="14" t="str">
        <f>VLOOKUP(A54,Data!$A:$B,2,FALSE)</f>
        <v>W4540</v>
      </c>
      <c r="C54" s="15" t="s">
        <v>367</v>
      </c>
      <c r="D54" s="12">
        <v>20</v>
      </c>
      <c r="E54" s="12">
        <v>65</v>
      </c>
      <c r="F54" s="12">
        <v>130</v>
      </c>
      <c r="G54" s="12">
        <v>110</v>
      </c>
      <c r="H54" s="12">
        <v>55</v>
      </c>
      <c r="I54" s="12">
        <v>30</v>
      </c>
      <c r="J54" s="12">
        <v>15</v>
      </c>
      <c r="K54" s="12"/>
      <c r="L54" s="35">
        <f t="shared" ref="L54:L55" si="7">SUM(D54:K54)</f>
        <v>425</v>
      </c>
      <c r="M54" s="19"/>
      <c r="N54" s="31"/>
    </row>
    <row r="55" spans="1:14" x14ac:dyDescent="0.2">
      <c r="A55" s="13" t="s">
        <v>183</v>
      </c>
      <c r="B55" s="14" t="str">
        <f>VLOOKUP(A55,Data!$A:$B,2,FALSE)</f>
        <v>W4540</v>
      </c>
      <c r="C55" s="15" t="s">
        <v>369</v>
      </c>
      <c r="D55" s="12">
        <v>20</v>
      </c>
      <c r="E55" s="12">
        <v>60</v>
      </c>
      <c r="F55" s="12">
        <v>130</v>
      </c>
      <c r="G55" s="12">
        <v>110</v>
      </c>
      <c r="H55" s="12">
        <v>55</v>
      </c>
      <c r="I55" s="12">
        <v>30</v>
      </c>
      <c r="J55" s="12">
        <v>15</v>
      </c>
      <c r="K55" s="12"/>
      <c r="L55" s="35">
        <f t="shared" si="7"/>
        <v>420</v>
      </c>
      <c r="M55" s="19"/>
      <c r="N55" s="31"/>
    </row>
    <row r="56" spans="1:14" x14ac:dyDescent="0.2">
      <c r="A56" s="51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3"/>
    </row>
    <row r="57" spans="1:14" x14ac:dyDescent="0.2">
      <c r="A57" s="13" t="s">
        <v>176</v>
      </c>
      <c r="B57" s="14" t="str">
        <f>VLOOKUP(A57,Data!$A:$B,2,FALSE)</f>
        <v>W4828</v>
      </c>
      <c r="C57" s="15" t="s">
        <v>365</v>
      </c>
      <c r="D57" s="12"/>
      <c r="E57" s="12">
        <v>15</v>
      </c>
      <c r="F57" s="12">
        <v>50</v>
      </c>
      <c r="G57" s="12">
        <v>55</v>
      </c>
      <c r="H57" s="12">
        <v>45</v>
      </c>
      <c r="I57" s="12">
        <v>20</v>
      </c>
      <c r="J57" s="12">
        <v>15</v>
      </c>
      <c r="K57" s="12"/>
      <c r="L57" s="50">
        <f>SUM(D57:K57)</f>
        <v>200</v>
      </c>
      <c r="M57" s="19"/>
      <c r="N57" s="31"/>
    </row>
    <row r="58" spans="1:14" x14ac:dyDescent="0.2">
      <c r="A58" s="13" t="s">
        <v>176</v>
      </c>
      <c r="B58" s="14" t="str">
        <f>VLOOKUP(A58,Data!$A:$B,2,FALSE)</f>
        <v>W4828</v>
      </c>
      <c r="C58" s="15" t="s">
        <v>372</v>
      </c>
      <c r="D58" s="12"/>
      <c r="E58" s="12">
        <v>15</v>
      </c>
      <c r="F58" s="12">
        <v>50</v>
      </c>
      <c r="G58" s="12">
        <v>55</v>
      </c>
      <c r="H58" s="12">
        <v>45</v>
      </c>
      <c r="I58" s="12">
        <v>20</v>
      </c>
      <c r="J58" s="12">
        <v>15</v>
      </c>
      <c r="K58" s="12"/>
      <c r="L58" s="35">
        <f>SUM(D58:K58)</f>
        <v>200</v>
      </c>
      <c r="M58" s="19"/>
      <c r="N58" s="31"/>
    </row>
    <row r="59" spans="1:14" x14ac:dyDescent="0.2">
      <c r="A59" s="51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3"/>
    </row>
    <row r="60" spans="1:14" x14ac:dyDescent="0.2">
      <c r="A60" s="13" t="s">
        <v>170</v>
      </c>
      <c r="B60" s="14" t="str">
        <f>VLOOKUP(A60,Data!$A:$B,2,FALSE)</f>
        <v>W4060</v>
      </c>
      <c r="C60" s="15" t="s">
        <v>365</v>
      </c>
      <c r="D60" s="12"/>
      <c r="E60" s="12">
        <v>45</v>
      </c>
      <c r="F60" s="12">
        <v>90</v>
      </c>
      <c r="G60" s="12">
        <v>95</v>
      </c>
      <c r="H60" s="12">
        <v>35</v>
      </c>
      <c r="I60" s="12">
        <v>25</v>
      </c>
      <c r="J60" s="12">
        <v>10</v>
      </c>
      <c r="K60" s="12"/>
      <c r="L60" s="50">
        <f>SUM(D60:K60)</f>
        <v>300</v>
      </c>
      <c r="M60" s="19"/>
      <c r="N60" s="31"/>
    </row>
    <row r="61" spans="1:14" x14ac:dyDescent="0.2">
      <c r="A61" s="13" t="s">
        <v>170</v>
      </c>
      <c r="B61" s="14" t="str">
        <f>VLOOKUP(A61,Data!$A:$B,2,FALSE)</f>
        <v>W4060</v>
      </c>
      <c r="C61" s="15" t="s">
        <v>372</v>
      </c>
      <c r="D61" s="12"/>
      <c r="E61" s="12">
        <v>45</v>
      </c>
      <c r="F61" s="12">
        <v>90</v>
      </c>
      <c r="G61" s="12">
        <v>95</v>
      </c>
      <c r="H61" s="12">
        <v>35</v>
      </c>
      <c r="I61" s="12">
        <v>25</v>
      </c>
      <c r="J61" s="12">
        <v>10</v>
      </c>
      <c r="K61" s="12"/>
      <c r="L61" s="35">
        <f>SUM(D61:K61)</f>
        <v>300</v>
      </c>
      <c r="M61" s="19"/>
      <c r="N61" s="31"/>
    </row>
    <row r="62" spans="1:14" x14ac:dyDescent="0.2">
      <c r="A62" s="51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3"/>
    </row>
    <row r="63" spans="1:14" x14ac:dyDescent="0.2">
      <c r="A63" s="13" t="s">
        <v>95</v>
      </c>
      <c r="B63" s="14" t="str">
        <f>VLOOKUP(A63,Data!$A:$B,2,FALSE)</f>
        <v>W5341</v>
      </c>
      <c r="C63" s="15" t="s">
        <v>365</v>
      </c>
      <c r="D63" s="12"/>
      <c r="E63" s="12">
        <v>10</v>
      </c>
      <c r="F63" s="12">
        <v>40</v>
      </c>
      <c r="G63" s="12">
        <v>75</v>
      </c>
      <c r="H63" s="12">
        <v>85</v>
      </c>
      <c r="I63" s="12">
        <v>50</v>
      </c>
      <c r="J63" s="12">
        <v>40</v>
      </c>
      <c r="K63" s="12">
        <v>15</v>
      </c>
      <c r="L63" s="50">
        <f>SUM(D63:K63)</f>
        <v>315</v>
      </c>
      <c r="M63" s="19"/>
      <c r="N63" s="31"/>
    </row>
    <row r="64" spans="1:14" x14ac:dyDescent="0.2">
      <c r="A64" s="13" t="s">
        <v>95</v>
      </c>
      <c r="B64" s="14" t="str">
        <f>VLOOKUP(A64,Data!$A:$B,2,FALSE)</f>
        <v>W5341</v>
      </c>
      <c r="C64" s="15" t="s">
        <v>372</v>
      </c>
      <c r="D64" s="12"/>
      <c r="E64" s="12">
        <v>10</v>
      </c>
      <c r="F64" s="12">
        <v>40</v>
      </c>
      <c r="G64" s="12">
        <v>75</v>
      </c>
      <c r="H64" s="12">
        <v>85</v>
      </c>
      <c r="I64" s="12">
        <v>50</v>
      </c>
      <c r="J64" s="12">
        <v>40</v>
      </c>
      <c r="K64" s="12">
        <v>15</v>
      </c>
      <c r="L64" s="50">
        <f t="shared" ref="L64:L66" si="8">SUM(D64:K64)</f>
        <v>315</v>
      </c>
      <c r="M64" s="19"/>
      <c r="N64" s="31"/>
    </row>
    <row r="65" spans="1:14" x14ac:dyDescent="0.2">
      <c r="A65" s="13" t="s">
        <v>95</v>
      </c>
      <c r="B65" s="14" t="str">
        <f>VLOOKUP(A65,Data!$A:$B,2,FALSE)</f>
        <v>W5341</v>
      </c>
      <c r="C65" s="15" t="s">
        <v>367</v>
      </c>
      <c r="D65" s="12"/>
      <c r="E65" s="12">
        <v>10</v>
      </c>
      <c r="F65" s="12">
        <v>25</v>
      </c>
      <c r="G65" s="12">
        <v>50</v>
      </c>
      <c r="H65" s="12">
        <v>55</v>
      </c>
      <c r="I65" s="12">
        <v>35</v>
      </c>
      <c r="J65" s="12">
        <v>25</v>
      </c>
      <c r="K65" s="12">
        <v>10</v>
      </c>
      <c r="L65" s="50">
        <f t="shared" si="8"/>
        <v>210</v>
      </c>
      <c r="M65" s="19"/>
      <c r="N65" s="31"/>
    </row>
    <row r="66" spans="1:14" x14ac:dyDescent="0.2">
      <c r="A66" s="13" t="s">
        <v>95</v>
      </c>
      <c r="B66" s="14" t="str">
        <f>VLOOKUP(A66,Data!$A:$B,2,FALSE)</f>
        <v>W5341</v>
      </c>
      <c r="C66" s="15" t="s">
        <v>368</v>
      </c>
      <c r="D66" s="12"/>
      <c r="E66" s="12">
        <v>10</v>
      </c>
      <c r="F66" s="12">
        <v>25</v>
      </c>
      <c r="G66" s="12">
        <v>50</v>
      </c>
      <c r="H66" s="12">
        <v>55</v>
      </c>
      <c r="I66" s="12">
        <v>35</v>
      </c>
      <c r="J66" s="12">
        <v>25</v>
      </c>
      <c r="K66" s="12">
        <v>10</v>
      </c>
      <c r="L66" s="50">
        <f t="shared" si="8"/>
        <v>210</v>
      </c>
      <c r="M66" s="19"/>
      <c r="N66" s="31"/>
    </row>
    <row r="67" spans="1:14" x14ac:dyDescent="0.2">
      <c r="A67" s="51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3"/>
    </row>
    <row r="68" spans="1:14" x14ac:dyDescent="0.2">
      <c r="A68" s="13" t="s">
        <v>63</v>
      </c>
      <c r="B68" s="14" t="str">
        <f>VLOOKUP(A68,Data!$A:$B,2,FALSE)</f>
        <v>U1007</v>
      </c>
      <c r="C68" s="15" t="s">
        <v>365</v>
      </c>
      <c r="D68" s="12">
        <v>10</v>
      </c>
      <c r="E68" s="12">
        <v>30</v>
      </c>
      <c r="F68" s="12">
        <v>60</v>
      </c>
      <c r="G68" s="12">
        <v>50</v>
      </c>
      <c r="H68" s="12">
        <v>40</v>
      </c>
      <c r="I68" s="12">
        <v>30</v>
      </c>
      <c r="J68" s="12">
        <v>25</v>
      </c>
      <c r="K68" s="12">
        <v>10</v>
      </c>
      <c r="L68" s="50">
        <f>SUM(D68:K68)</f>
        <v>255</v>
      </c>
      <c r="M68" s="19"/>
      <c r="N68" s="31"/>
    </row>
    <row r="69" spans="1:14" x14ac:dyDescent="0.2">
      <c r="A69" s="13" t="s">
        <v>63</v>
      </c>
      <c r="B69" s="14" t="str">
        <f>VLOOKUP(A69,Data!$A:$B,2,FALSE)</f>
        <v>U1007</v>
      </c>
      <c r="C69" s="15" t="s">
        <v>372</v>
      </c>
      <c r="D69" s="12">
        <v>10</v>
      </c>
      <c r="E69" s="12">
        <v>30</v>
      </c>
      <c r="F69" s="12">
        <v>60</v>
      </c>
      <c r="G69" s="12">
        <v>50</v>
      </c>
      <c r="H69" s="12">
        <v>40</v>
      </c>
      <c r="I69" s="12">
        <v>30</v>
      </c>
      <c r="J69" s="12">
        <v>25</v>
      </c>
      <c r="K69" s="12">
        <v>10</v>
      </c>
      <c r="L69" s="35">
        <f>SUM(D69:K69)</f>
        <v>255</v>
      </c>
      <c r="M69" s="19"/>
      <c r="N69" s="31"/>
    </row>
    <row r="70" spans="1:14" x14ac:dyDescent="0.2">
      <c r="A70" s="51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3"/>
    </row>
    <row r="71" spans="1:14" x14ac:dyDescent="0.2">
      <c r="A71" s="13" t="s">
        <v>326</v>
      </c>
      <c r="B71" s="14" t="str">
        <f>VLOOKUP(A71,Data!$A:$B,2,FALSE)</f>
        <v>U1006</v>
      </c>
      <c r="C71" s="15" t="s">
        <v>365</v>
      </c>
      <c r="D71" s="12">
        <v>25</v>
      </c>
      <c r="E71" s="12">
        <v>55</v>
      </c>
      <c r="F71" s="12">
        <v>100</v>
      </c>
      <c r="G71" s="12">
        <v>95</v>
      </c>
      <c r="H71" s="12">
        <v>45</v>
      </c>
      <c r="I71" s="12">
        <v>25</v>
      </c>
      <c r="J71" s="12">
        <v>15</v>
      </c>
      <c r="K71" s="12"/>
      <c r="L71" s="50">
        <f>SUM(D71:K71)</f>
        <v>360</v>
      </c>
      <c r="M71" s="19"/>
      <c r="N71" s="31"/>
    </row>
    <row r="72" spans="1:14" x14ac:dyDescent="0.2">
      <c r="A72" s="13" t="s">
        <v>326</v>
      </c>
      <c r="B72" s="14" t="str">
        <f>VLOOKUP(A72,Data!$A:$B,2,FALSE)</f>
        <v>U1006</v>
      </c>
      <c r="C72" s="15" t="s">
        <v>372</v>
      </c>
      <c r="D72" s="12">
        <v>25</v>
      </c>
      <c r="E72" s="12">
        <v>55</v>
      </c>
      <c r="F72" s="12">
        <v>100</v>
      </c>
      <c r="G72" s="12">
        <v>95</v>
      </c>
      <c r="H72" s="12">
        <v>45</v>
      </c>
      <c r="I72" s="12">
        <v>25</v>
      </c>
      <c r="J72" s="12">
        <v>15</v>
      </c>
      <c r="K72" s="12"/>
      <c r="L72" s="35">
        <f>SUM(D72:K72)</f>
        <v>360</v>
      </c>
      <c r="M72" s="19"/>
      <c r="N72" s="31"/>
    </row>
    <row r="73" spans="1:14" x14ac:dyDescent="0.2">
      <c r="A73" s="13" t="s">
        <v>326</v>
      </c>
      <c r="B73" s="14" t="str">
        <f>VLOOKUP(A73,Data!$A:$B,2,FALSE)</f>
        <v>U1006</v>
      </c>
      <c r="C73" s="15" t="s">
        <v>367</v>
      </c>
      <c r="D73" s="12">
        <v>20</v>
      </c>
      <c r="E73" s="12">
        <v>35</v>
      </c>
      <c r="F73" s="12">
        <v>65</v>
      </c>
      <c r="G73" s="12">
        <v>65</v>
      </c>
      <c r="H73" s="12">
        <v>30</v>
      </c>
      <c r="I73" s="12">
        <v>15</v>
      </c>
      <c r="J73" s="12">
        <v>10</v>
      </c>
      <c r="K73" s="12"/>
      <c r="L73" s="35">
        <f t="shared" ref="L73:L74" si="9">SUM(D73:K73)</f>
        <v>240</v>
      </c>
      <c r="M73" s="19"/>
      <c r="N73" s="31"/>
    </row>
    <row r="74" spans="1:14" x14ac:dyDescent="0.2">
      <c r="A74" s="13" t="s">
        <v>326</v>
      </c>
      <c r="B74" s="14" t="str">
        <f>VLOOKUP(A74,Data!$A:$B,2,FALSE)</f>
        <v>U1006</v>
      </c>
      <c r="C74" s="15" t="s">
        <v>368</v>
      </c>
      <c r="D74" s="12">
        <v>20</v>
      </c>
      <c r="E74" s="12">
        <v>35</v>
      </c>
      <c r="F74" s="12">
        <v>65</v>
      </c>
      <c r="G74" s="12">
        <v>65</v>
      </c>
      <c r="H74" s="12">
        <v>30</v>
      </c>
      <c r="I74" s="12">
        <v>15</v>
      </c>
      <c r="J74" s="12">
        <v>10</v>
      </c>
      <c r="K74" s="12"/>
      <c r="L74" s="35">
        <f t="shared" si="9"/>
        <v>240</v>
      </c>
      <c r="M74" s="19"/>
      <c r="N74" s="31"/>
    </row>
    <row r="75" spans="1:14" x14ac:dyDescent="0.2">
      <c r="A75" s="51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3"/>
    </row>
    <row r="76" spans="1:14" x14ac:dyDescent="0.2">
      <c r="A76" s="13" t="s">
        <v>328</v>
      </c>
      <c r="B76" s="14" t="str">
        <f>VLOOKUP(A76,Data!$A:$B,2,FALSE)</f>
        <v>U1008</v>
      </c>
      <c r="C76" s="15" t="s">
        <v>365</v>
      </c>
      <c r="D76" s="12"/>
      <c r="E76" s="12">
        <v>10</v>
      </c>
      <c r="F76" s="12">
        <v>30</v>
      </c>
      <c r="G76" s="12">
        <v>50</v>
      </c>
      <c r="H76" s="12">
        <v>55</v>
      </c>
      <c r="I76" s="12">
        <v>30</v>
      </c>
      <c r="J76" s="12">
        <v>20</v>
      </c>
      <c r="K76" s="12">
        <v>10</v>
      </c>
      <c r="L76" s="50">
        <f>SUM(D76:K76)</f>
        <v>205</v>
      </c>
      <c r="M76" s="19"/>
      <c r="N76" s="31"/>
    </row>
    <row r="77" spans="1:14" x14ac:dyDescent="0.2">
      <c r="A77" s="13" t="s">
        <v>328</v>
      </c>
      <c r="B77" s="14" t="str">
        <f>VLOOKUP(A77,Data!$A:$B,2,FALSE)</f>
        <v>U1008</v>
      </c>
      <c r="C77" s="15" t="s">
        <v>372</v>
      </c>
      <c r="D77" s="12"/>
      <c r="E77" s="12">
        <v>10</v>
      </c>
      <c r="F77" s="12">
        <v>30</v>
      </c>
      <c r="G77" s="12">
        <v>50</v>
      </c>
      <c r="H77" s="12">
        <v>55</v>
      </c>
      <c r="I77" s="12">
        <v>30</v>
      </c>
      <c r="J77" s="12">
        <v>20</v>
      </c>
      <c r="K77" s="12">
        <v>10</v>
      </c>
      <c r="L77" s="50">
        <f t="shared" ref="L77" si="10">SUM(D77:K77)</f>
        <v>205</v>
      </c>
      <c r="M77" s="19"/>
      <c r="N77" s="31"/>
    </row>
    <row r="78" spans="1:14" x14ac:dyDescent="0.2">
      <c r="A78" s="51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3"/>
    </row>
    <row r="79" spans="1:14" x14ac:dyDescent="0.2">
      <c r="A79" s="13" t="s">
        <v>152</v>
      </c>
      <c r="B79" s="14" t="str">
        <f>VLOOKUP(A79,Data!$A:$B,2,FALSE)</f>
        <v>BR2022</v>
      </c>
      <c r="C79" s="15" t="s">
        <v>365</v>
      </c>
      <c r="D79" s="12">
        <v>15</v>
      </c>
      <c r="E79" s="12">
        <v>70</v>
      </c>
      <c r="F79" s="12">
        <v>155</v>
      </c>
      <c r="G79" s="12">
        <v>180</v>
      </c>
      <c r="H79" s="12">
        <v>140</v>
      </c>
      <c r="I79" s="12">
        <v>90</v>
      </c>
      <c r="J79" s="12">
        <v>60</v>
      </c>
      <c r="K79" s="12">
        <v>15</v>
      </c>
      <c r="L79" s="50">
        <f>SUM(D79:K79)</f>
        <v>725</v>
      </c>
      <c r="M79" s="19"/>
      <c r="N79" s="31"/>
    </row>
    <row r="80" spans="1:14" x14ac:dyDescent="0.2">
      <c r="A80" s="13" t="s">
        <v>152</v>
      </c>
      <c r="B80" s="14" t="str">
        <f>VLOOKUP(A80,Data!$A:$B,2,FALSE)</f>
        <v>BR2022</v>
      </c>
      <c r="C80" s="15" t="s">
        <v>372</v>
      </c>
      <c r="D80" s="12">
        <v>15</v>
      </c>
      <c r="E80" s="12">
        <v>70</v>
      </c>
      <c r="F80" s="12">
        <v>155</v>
      </c>
      <c r="G80" s="12">
        <v>180</v>
      </c>
      <c r="H80" s="12">
        <v>140</v>
      </c>
      <c r="I80" s="12">
        <v>90</v>
      </c>
      <c r="J80" s="12">
        <v>60</v>
      </c>
      <c r="K80" s="12">
        <v>15</v>
      </c>
      <c r="L80" s="35">
        <f>SUM(D80:K80)</f>
        <v>725</v>
      </c>
      <c r="M80" s="19"/>
      <c r="N80" s="31"/>
    </row>
    <row r="81" spans="1:15" x14ac:dyDescent="0.2">
      <c r="A81" s="13" t="s">
        <v>152</v>
      </c>
      <c r="B81" s="14" t="str">
        <f>VLOOKUP(A81,Data!$A:$B,2,FALSE)</f>
        <v>BR2022</v>
      </c>
      <c r="C81" s="15" t="s">
        <v>366</v>
      </c>
      <c r="D81" s="12">
        <v>15</v>
      </c>
      <c r="E81" s="12">
        <v>70</v>
      </c>
      <c r="F81" s="12">
        <v>155</v>
      </c>
      <c r="G81" s="12">
        <v>180</v>
      </c>
      <c r="H81" s="12">
        <v>140</v>
      </c>
      <c r="I81" s="12">
        <v>90</v>
      </c>
      <c r="J81" s="12">
        <v>60</v>
      </c>
      <c r="K81" s="12">
        <v>15</v>
      </c>
      <c r="L81" s="35">
        <f t="shared" ref="L81:L85" si="11">SUM(D81:K81)</f>
        <v>725</v>
      </c>
      <c r="M81" s="19"/>
      <c r="N81" s="31"/>
    </row>
    <row r="82" spans="1:15" x14ac:dyDescent="0.2">
      <c r="A82" s="13" t="s">
        <v>152</v>
      </c>
      <c r="B82" s="14" t="str">
        <f>VLOOKUP(A82,Data!$A:$B,2,FALSE)</f>
        <v>BR2022</v>
      </c>
      <c r="C82" s="15" t="s">
        <v>367</v>
      </c>
      <c r="D82" s="12">
        <v>10</v>
      </c>
      <c r="E82" s="12">
        <v>50</v>
      </c>
      <c r="F82" s="12">
        <v>110</v>
      </c>
      <c r="G82" s="12">
        <v>125</v>
      </c>
      <c r="H82" s="12">
        <v>100</v>
      </c>
      <c r="I82" s="12">
        <v>65</v>
      </c>
      <c r="J82" s="12">
        <v>40</v>
      </c>
      <c r="K82" s="12">
        <v>10</v>
      </c>
      <c r="L82" s="35">
        <f t="shared" si="11"/>
        <v>510</v>
      </c>
      <c r="M82" s="19"/>
      <c r="N82" s="31"/>
    </row>
    <row r="83" spans="1:15" x14ac:dyDescent="0.2">
      <c r="A83" s="13" t="s">
        <v>152</v>
      </c>
      <c r="B83" s="14" t="str">
        <f>VLOOKUP(A83,Data!$A:$B,2,FALSE)</f>
        <v>BR2022</v>
      </c>
      <c r="C83" s="15" t="s">
        <v>368</v>
      </c>
      <c r="D83" s="12">
        <v>10</v>
      </c>
      <c r="E83" s="12">
        <v>40</v>
      </c>
      <c r="F83" s="12">
        <v>85</v>
      </c>
      <c r="G83" s="12">
        <v>100</v>
      </c>
      <c r="H83" s="12">
        <v>75</v>
      </c>
      <c r="I83" s="12">
        <v>50</v>
      </c>
      <c r="J83" s="12">
        <v>35</v>
      </c>
      <c r="K83" s="12">
        <v>10</v>
      </c>
      <c r="L83" s="35">
        <f t="shared" si="11"/>
        <v>405</v>
      </c>
      <c r="M83" s="19"/>
      <c r="N83" s="31"/>
    </row>
    <row r="84" spans="1:15" x14ac:dyDescent="0.2">
      <c r="A84" s="13" t="s">
        <v>152</v>
      </c>
      <c r="B84" s="14" t="str">
        <f>VLOOKUP(A84,Data!$A:$B,2,FALSE)</f>
        <v>BR2022</v>
      </c>
      <c r="C84" s="15" t="s">
        <v>369</v>
      </c>
      <c r="D84" s="12">
        <v>10</v>
      </c>
      <c r="E84" s="12">
        <v>40</v>
      </c>
      <c r="F84" s="12">
        <v>85</v>
      </c>
      <c r="G84" s="12">
        <v>100</v>
      </c>
      <c r="H84" s="12">
        <v>75</v>
      </c>
      <c r="I84" s="12">
        <v>50</v>
      </c>
      <c r="J84" s="12">
        <v>35</v>
      </c>
      <c r="K84" s="12">
        <v>10</v>
      </c>
      <c r="L84" s="35">
        <f t="shared" si="11"/>
        <v>405</v>
      </c>
      <c r="M84" s="19"/>
      <c r="N84" s="31"/>
    </row>
    <row r="85" spans="1:15" x14ac:dyDescent="0.2">
      <c r="A85" s="13" t="s">
        <v>152</v>
      </c>
      <c r="B85" s="14" t="str">
        <f>VLOOKUP(A85,Data!$A:$B,2,FALSE)</f>
        <v>BR2022</v>
      </c>
      <c r="C85" s="15" t="s">
        <v>370</v>
      </c>
      <c r="D85" s="12">
        <v>10</v>
      </c>
      <c r="E85" s="12">
        <v>40</v>
      </c>
      <c r="F85" s="12">
        <v>85</v>
      </c>
      <c r="G85" s="12">
        <v>100</v>
      </c>
      <c r="H85" s="12">
        <v>75</v>
      </c>
      <c r="I85" s="12">
        <v>50</v>
      </c>
      <c r="J85" s="12">
        <v>35</v>
      </c>
      <c r="K85" s="12">
        <v>10</v>
      </c>
      <c r="L85" s="35">
        <f t="shared" si="11"/>
        <v>405</v>
      </c>
      <c r="M85" s="19"/>
      <c r="N85" s="31"/>
    </row>
    <row r="86" spans="1:15" x14ac:dyDescent="0.2">
      <c r="A86" s="51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3"/>
    </row>
    <row r="87" spans="1:15" ht="15.75" customHeight="1" x14ac:dyDescent="0.2">
      <c r="A87" s="74"/>
      <c r="B87" s="64"/>
      <c r="C87" s="64"/>
      <c r="D87" s="64"/>
      <c r="E87" s="64"/>
      <c r="F87" s="64"/>
      <c r="G87" s="64"/>
      <c r="H87" s="16"/>
      <c r="I87" s="16"/>
      <c r="J87" s="17"/>
      <c r="K87" s="18" t="s">
        <v>13</v>
      </c>
      <c r="L87" s="32">
        <f>SUM(L15:L86)</f>
        <v>36110</v>
      </c>
      <c r="M87" s="18"/>
    </row>
    <row r="88" spans="1:15" ht="15.75" customHeight="1" x14ac:dyDescent="0.2">
      <c r="A88" s="75" t="s">
        <v>16</v>
      </c>
      <c r="B88" s="76"/>
      <c r="C88" s="76"/>
      <c r="D88" s="76"/>
      <c r="E88" s="76"/>
      <c r="F88" s="76"/>
      <c r="G88" s="77"/>
      <c r="H88" s="3"/>
      <c r="I88" s="3"/>
    </row>
    <row r="89" spans="1:15" x14ac:dyDescent="0.2">
      <c r="A89" s="78" t="s">
        <v>373</v>
      </c>
      <c r="B89" s="78"/>
      <c r="C89" s="78"/>
      <c r="D89" s="78"/>
      <c r="E89" s="78"/>
      <c r="F89" s="78"/>
      <c r="G89" s="79"/>
      <c r="H89" s="4"/>
      <c r="I89" s="4"/>
      <c r="M89" s="18" t="s">
        <v>15</v>
      </c>
      <c r="N89" s="20">
        <f>SUM(N16:N86)</f>
        <v>0</v>
      </c>
    </row>
    <row r="90" spans="1:15" x14ac:dyDescent="0.2">
      <c r="A90" s="78" t="s">
        <v>374</v>
      </c>
      <c r="B90" s="78"/>
      <c r="C90" s="78"/>
      <c r="D90" s="78"/>
      <c r="E90" s="78"/>
      <c r="F90" s="78"/>
      <c r="G90" s="79"/>
      <c r="H90" s="4"/>
      <c r="I90" s="4"/>
    </row>
    <row r="91" spans="1:15" ht="15.75" customHeight="1" x14ac:dyDescent="0.2">
      <c r="A91" s="78"/>
      <c r="B91" s="78"/>
      <c r="C91" s="78"/>
      <c r="D91" s="78"/>
      <c r="E91" s="78"/>
      <c r="F91" s="78"/>
      <c r="G91" s="79"/>
      <c r="H91" s="4"/>
      <c r="I91" s="4"/>
    </row>
    <row r="92" spans="1:15" ht="16.5" customHeight="1" x14ac:dyDescent="0.2">
      <c r="A92" s="82"/>
      <c r="B92" s="69"/>
      <c r="C92" s="69"/>
      <c r="D92" s="69"/>
      <c r="E92" s="69"/>
      <c r="F92" s="69"/>
      <c r="G92" s="83"/>
      <c r="H92" s="4"/>
      <c r="I92" s="4"/>
    </row>
    <row r="93" spans="1:15" ht="16" thickBot="1" x14ac:dyDescent="0.25">
      <c r="A93" s="5"/>
      <c r="B93" s="6"/>
      <c r="C93" s="6"/>
      <c r="D93" s="6"/>
      <c r="E93" s="6"/>
      <c r="F93" s="6"/>
      <c r="G93" s="7"/>
      <c r="H93" s="4"/>
      <c r="I93" s="4"/>
      <c r="J93" s="8"/>
      <c r="K93" s="9"/>
      <c r="L93" s="36"/>
      <c r="M93" s="9"/>
      <c r="N93" s="9"/>
      <c r="O93" s="10"/>
    </row>
    <row r="94" spans="1:15" ht="15.75" customHeight="1" x14ac:dyDescent="0.2">
      <c r="J94" t="s">
        <v>17</v>
      </c>
      <c r="O94" t="s">
        <v>18</v>
      </c>
    </row>
    <row r="95" spans="1:15" x14ac:dyDescent="0.2"/>
    <row r="96" spans="1:15" x14ac:dyDescent="0.2"/>
    <row r="97" spans="1:12" x14ac:dyDescent="0.2">
      <c r="A97" s="68" t="s">
        <v>19</v>
      </c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</row>
    <row r="98" spans="1:12" ht="30" customHeight="1" x14ac:dyDescent="0.2">
      <c r="A98" s="70" t="s">
        <v>44</v>
      </c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</row>
    <row r="99" spans="1:12" x14ac:dyDescent="0.2"/>
    <row r="100" spans="1:12" x14ac:dyDescent="0.2"/>
    <row r="101" spans="1:12" x14ac:dyDescent="0.2"/>
    <row r="102" spans="1:12" x14ac:dyDescent="0.2"/>
    <row r="103" spans="1:12" x14ac:dyDescent="0.2"/>
    <row r="104" spans="1:12" x14ac:dyDescent="0.2"/>
    <row r="105" spans="1:12" x14ac:dyDescent="0.2"/>
    <row r="106" spans="1:12" x14ac:dyDescent="0.2"/>
    <row r="107" spans="1:12" x14ac:dyDescent="0.2"/>
    <row r="108" spans="1:12" x14ac:dyDescent="0.2"/>
    <row r="109" spans="1:12" x14ac:dyDescent="0.2"/>
    <row r="110" spans="1:12" x14ac:dyDescent="0.2"/>
    <row r="111" spans="1:12" x14ac:dyDescent="0.2"/>
    <row r="112" spans="1: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  <row r="1001" x14ac:dyDescent="0.2"/>
    <row r="1002" x14ac:dyDescent="0.2"/>
    <row r="1003" x14ac:dyDescent="0.2"/>
    <row r="1004" x14ac:dyDescent="0.2"/>
    <row r="1005" x14ac:dyDescent="0.2"/>
    <row r="1006" x14ac:dyDescent="0.2"/>
    <row r="1007" x14ac:dyDescent="0.2"/>
    <row r="1008" x14ac:dyDescent="0.2"/>
    <row r="1009" x14ac:dyDescent="0.2"/>
    <row r="1010" x14ac:dyDescent="0.2"/>
    <row r="1011" x14ac:dyDescent="0.2"/>
    <row r="1012" x14ac:dyDescent="0.2"/>
    <row r="1013" x14ac:dyDescent="0.2"/>
    <row r="1014" x14ac:dyDescent="0.2"/>
    <row r="1015" x14ac:dyDescent="0.2"/>
    <row r="1016" x14ac:dyDescent="0.2"/>
    <row r="1017" x14ac:dyDescent="0.2"/>
    <row r="1018" x14ac:dyDescent="0.2"/>
    <row r="1019" x14ac:dyDescent="0.2"/>
    <row r="1020" x14ac:dyDescent="0.2"/>
    <row r="1021" x14ac:dyDescent="0.2"/>
    <row r="1022" x14ac:dyDescent="0.2"/>
    <row r="1023" x14ac:dyDescent="0.2"/>
    <row r="1024" x14ac:dyDescent="0.2"/>
    <row r="1025" x14ac:dyDescent="0.2"/>
    <row r="1026" x14ac:dyDescent="0.2"/>
    <row r="1027" x14ac:dyDescent="0.2"/>
    <row r="1028" x14ac:dyDescent="0.2"/>
    <row r="1029" x14ac:dyDescent="0.2"/>
    <row r="1030" x14ac:dyDescent="0.2"/>
    <row r="1031" x14ac:dyDescent="0.2"/>
    <row r="1032" x14ac:dyDescent="0.2"/>
    <row r="1033" x14ac:dyDescent="0.2"/>
    <row r="1034" x14ac:dyDescent="0.2"/>
    <row r="1035" x14ac:dyDescent="0.2"/>
    <row r="1036" x14ac:dyDescent="0.2"/>
    <row r="1037" x14ac:dyDescent="0.2"/>
    <row r="1038" x14ac:dyDescent="0.2"/>
    <row r="1039" x14ac:dyDescent="0.2"/>
    <row r="1040" x14ac:dyDescent="0.2"/>
    <row r="1041" x14ac:dyDescent="0.2"/>
    <row r="1042" x14ac:dyDescent="0.2"/>
    <row r="1043" x14ac:dyDescent="0.2"/>
    <row r="1044" x14ac:dyDescent="0.2"/>
    <row r="1045" x14ac:dyDescent="0.2"/>
    <row r="1046" x14ac:dyDescent="0.2"/>
    <row r="1047" x14ac:dyDescent="0.2"/>
    <row r="1048" x14ac:dyDescent="0.2"/>
    <row r="1049" x14ac:dyDescent="0.2"/>
    <row r="1050" x14ac:dyDescent="0.2"/>
    <row r="1051" x14ac:dyDescent="0.2"/>
    <row r="1052" x14ac:dyDescent="0.2"/>
    <row r="1053" x14ac:dyDescent="0.2"/>
    <row r="1054" x14ac:dyDescent="0.2"/>
    <row r="1055" x14ac:dyDescent="0.2"/>
    <row r="1056" x14ac:dyDescent="0.2"/>
    <row r="1057" x14ac:dyDescent="0.2"/>
    <row r="1058" x14ac:dyDescent="0.2"/>
    <row r="1059" x14ac:dyDescent="0.2"/>
    <row r="1060" x14ac:dyDescent="0.2"/>
    <row r="1061" x14ac:dyDescent="0.2"/>
    <row r="1062" x14ac:dyDescent="0.2"/>
    <row r="1063" x14ac:dyDescent="0.2"/>
    <row r="1064" x14ac:dyDescent="0.2"/>
    <row r="1065" x14ac:dyDescent="0.2"/>
  </sheetData>
  <mergeCells count="23">
    <mergeCell ref="A97:L97"/>
    <mergeCell ref="A98:L98"/>
    <mergeCell ref="A8:B8"/>
    <mergeCell ref="A11:B11"/>
    <mergeCell ref="A87:G87"/>
    <mergeCell ref="A88:G88"/>
    <mergeCell ref="A89:G89"/>
    <mergeCell ref="D14:K14"/>
    <mergeCell ref="A90:G90"/>
    <mergeCell ref="A91:G91"/>
    <mergeCell ref="A92:G92"/>
    <mergeCell ref="G12:J12"/>
    <mergeCell ref="G11:J11"/>
    <mergeCell ref="A1:B1"/>
    <mergeCell ref="A2:B2"/>
    <mergeCell ref="A3:B3"/>
    <mergeCell ref="A4:B4"/>
    <mergeCell ref="A5:B5"/>
    <mergeCell ref="A7:B7"/>
    <mergeCell ref="G7:J7"/>
    <mergeCell ref="G8:J8"/>
    <mergeCell ref="G9:J9"/>
    <mergeCell ref="G10:J10"/>
  </mergeCells>
  <conditionalFormatting sqref="D16:K22 D48:K50 D52:K55 D63:K66 D71:K74 D76:K85">
    <cfRule type="cellIs" dxfId="6" priority="2" operator="equal">
      <formula>0</formula>
    </cfRule>
  </conditionalFormatting>
  <conditionalFormatting sqref="D24:K30">
    <cfRule type="cellIs" dxfId="5" priority="17" operator="equal">
      <formula>0</formula>
    </cfRule>
  </conditionalFormatting>
  <conditionalFormatting sqref="D32:K38">
    <cfRule type="cellIs" dxfId="4" priority="16" operator="equal">
      <formula>0</formula>
    </cfRule>
  </conditionalFormatting>
  <conditionalFormatting sqref="D40:K46">
    <cfRule type="cellIs" dxfId="3" priority="15" operator="equal">
      <formula>0</formula>
    </cfRule>
  </conditionalFormatting>
  <conditionalFormatting sqref="D57:K58">
    <cfRule type="cellIs" dxfId="2" priority="11" operator="equal">
      <formula>0</formula>
    </cfRule>
  </conditionalFormatting>
  <conditionalFormatting sqref="D60:K61">
    <cfRule type="cellIs" dxfId="1" priority="10" operator="equal">
      <formula>0</formula>
    </cfRule>
  </conditionalFormatting>
  <conditionalFormatting sqref="D68:K69">
    <cfRule type="cellIs" dxfId="0" priority="8" operator="equal">
      <formula>0</formula>
    </cfRule>
  </conditionalFormatting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E6594-CCA1-493C-BDDF-5BEDBADE6AE1}">
  <dimension ref="A1:Z1001"/>
  <sheetViews>
    <sheetView topLeftCell="H135" zoomScale="130" zoomScaleNormal="130" workbookViewId="0">
      <selection activeCell="M148" sqref="M148"/>
    </sheetView>
  </sheetViews>
  <sheetFormatPr baseColWidth="10" defaultColWidth="13" defaultRowHeight="15" customHeight="1" x14ac:dyDescent="0.2"/>
  <cols>
    <col min="1" max="1" width="43.83203125" style="41" customWidth="1"/>
    <col min="2" max="2" width="13.33203125" style="41" customWidth="1"/>
    <col min="3" max="5" width="11" style="41" customWidth="1"/>
    <col min="6" max="6" width="17.33203125" style="41" customWidth="1"/>
    <col min="7" max="7" width="23.83203125" style="41" customWidth="1"/>
    <col min="8" max="10" width="11" style="41" customWidth="1"/>
    <col min="11" max="11" width="22.6640625" style="41" customWidth="1"/>
    <col min="12" max="12" width="20.6640625" style="41" customWidth="1"/>
    <col min="13" max="18" width="11" style="41" customWidth="1"/>
    <col min="19" max="19" width="84.6640625" style="41" customWidth="1"/>
    <col min="20" max="16384" width="13" style="41"/>
  </cols>
  <sheetData>
    <row r="1" spans="1:26" ht="16" x14ac:dyDescent="0.2">
      <c r="A1" s="37" t="s">
        <v>310</v>
      </c>
      <c r="B1" s="38" t="s">
        <v>313</v>
      </c>
      <c r="C1" s="38" t="s">
        <v>312</v>
      </c>
      <c r="D1" s="37" t="s">
        <v>311</v>
      </c>
      <c r="E1" s="39"/>
      <c r="F1" s="37" t="s">
        <v>310</v>
      </c>
      <c r="G1" s="37" t="s">
        <v>309</v>
      </c>
      <c r="H1" s="38" t="s">
        <v>308</v>
      </c>
      <c r="I1" s="39"/>
      <c r="J1" s="39"/>
      <c r="K1" s="37" t="s">
        <v>307</v>
      </c>
      <c r="L1" s="37" t="s">
        <v>306</v>
      </c>
      <c r="M1" s="39"/>
      <c r="N1" s="39"/>
      <c r="O1" s="37" t="s">
        <v>305</v>
      </c>
      <c r="P1" s="37" t="s">
        <v>304</v>
      </c>
      <c r="Q1" s="40"/>
      <c r="R1" s="39" t="s">
        <v>303</v>
      </c>
      <c r="S1" s="40"/>
      <c r="T1" s="40"/>
      <c r="U1" s="40"/>
      <c r="V1" s="40"/>
      <c r="W1" s="40"/>
      <c r="X1" s="40"/>
      <c r="Y1" s="40"/>
      <c r="Z1" s="40"/>
    </row>
    <row r="2" spans="1:26" ht="16" x14ac:dyDescent="0.2">
      <c r="A2" s="42" t="s">
        <v>280</v>
      </c>
      <c r="B2" s="42" t="s">
        <v>302</v>
      </c>
      <c r="C2" s="42" t="s">
        <v>226</v>
      </c>
      <c r="D2" s="39" t="s">
        <v>301</v>
      </c>
      <c r="E2" s="39"/>
      <c r="F2" s="42" t="s">
        <v>280</v>
      </c>
      <c r="G2" s="42" t="s">
        <v>51</v>
      </c>
      <c r="H2" s="43">
        <v>3.46</v>
      </c>
      <c r="I2" s="39"/>
      <c r="J2" s="39"/>
      <c r="K2" s="42" t="s">
        <v>300</v>
      </c>
      <c r="L2" s="42" t="s">
        <v>51</v>
      </c>
      <c r="M2" s="39"/>
      <c r="N2" s="39"/>
      <c r="O2" s="42" t="s">
        <v>8</v>
      </c>
      <c r="P2" s="42" t="s">
        <v>299</v>
      </c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16" x14ac:dyDescent="0.2">
      <c r="A3" s="42" t="s">
        <v>258</v>
      </c>
      <c r="B3" s="42" t="s">
        <v>298</v>
      </c>
      <c r="C3" s="42" t="s">
        <v>226</v>
      </c>
      <c r="D3" s="39" t="s">
        <v>297</v>
      </c>
      <c r="E3" s="39"/>
      <c r="F3" s="42" t="s">
        <v>280</v>
      </c>
      <c r="G3" s="42" t="s">
        <v>50</v>
      </c>
      <c r="H3" s="43">
        <v>3.6</v>
      </c>
      <c r="I3" s="39"/>
      <c r="J3" s="39"/>
      <c r="K3" s="42" t="s">
        <v>296</v>
      </c>
      <c r="L3" s="42" t="s">
        <v>51</v>
      </c>
      <c r="M3" s="39"/>
      <c r="N3" s="39"/>
      <c r="O3" s="42" t="s">
        <v>9</v>
      </c>
      <c r="P3" s="42" t="s">
        <v>295</v>
      </c>
      <c r="Q3" s="40"/>
      <c r="R3" s="37" t="s">
        <v>335</v>
      </c>
      <c r="S3" s="38" t="s">
        <v>336</v>
      </c>
      <c r="T3" s="38" t="s">
        <v>337</v>
      </c>
      <c r="U3" s="40"/>
      <c r="V3" s="40"/>
      <c r="W3" s="40"/>
      <c r="X3" s="40"/>
      <c r="Y3" s="40"/>
      <c r="Z3" s="40"/>
    </row>
    <row r="4" spans="1:26" ht="51" x14ac:dyDescent="0.2">
      <c r="A4" s="42" t="s">
        <v>244</v>
      </c>
      <c r="B4" s="42" t="s">
        <v>294</v>
      </c>
      <c r="C4" s="42" t="s">
        <v>226</v>
      </c>
      <c r="D4" s="39" t="s">
        <v>293</v>
      </c>
      <c r="E4" s="39"/>
      <c r="F4" s="42" t="s">
        <v>280</v>
      </c>
      <c r="G4" s="42" t="s">
        <v>49</v>
      </c>
      <c r="H4" s="43">
        <v>3.63</v>
      </c>
      <c r="I4" s="39"/>
      <c r="J4" s="39"/>
      <c r="K4" s="42" t="s">
        <v>292</v>
      </c>
      <c r="L4" s="42" t="s">
        <v>51</v>
      </c>
      <c r="M4" s="39"/>
      <c r="N4" s="39"/>
      <c r="O4" s="42" t="s">
        <v>10</v>
      </c>
      <c r="P4" s="42" t="s">
        <v>291</v>
      </c>
      <c r="Q4" s="40"/>
      <c r="R4" s="38" t="s">
        <v>314</v>
      </c>
      <c r="S4" s="54" t="s">
        <v>338</v>
      </c>
      <c r="T4" s="54" t="s">
        <v>339</v>
      </c>
      <c r="U4" s="40"/>
      <c r="V4" s="40"/>
      <c r="W4" s="40"/>
      <c r="X4" s="40"/>
      <c r="Y4" s="40"/>
      <c r="Z4" s="40"/>
    </row>
    <row r="5" spans="1:26" ht="34" x14ac:dyDescent="0.2">
      <c r="A5" s="42" t="s">
        <v>231</v>
      </c>
      <c r="B5" s="42" t="s">
        <v>290</v>
      </c>
      <c r="C5" s="42" t="s">
        <v>226</v>
      </c>
      <c r="D5" s="39" t="s">
        <v>289</v>
      </c>
      <c r="E5" s="39"/>
      <c r="F5" s="42" t="s">
        <v>280</v>
      </c>
      <c r="G5" s="42" t="s">
        <v>48</v>
      </c>
      <c r="H5" s="43">
        <v>3.54</v>
      </c>
      <c r="I5" s="39"/>
      <c r="J5" s="39"/>
      <c r="K5" s="42" t="s">
        <v>288</v>
      </c>
      <c r="L5" s="42" t="s">
        <v>51</v>
      </c>
      <c r="M5" s="39"/>
      <c r="N5" s="39"/>
      <c r="O5" s="42" t="s">
        <v>11</v>
      </c>
      <c r="P5" s="42" t="s">
        <v>287</v>
      </c>
      <c r="Q5" s="40"/>
      <c r="R5" s="38" t="s">
        <v>340</v>
      </c>
      <c r="S5" s="54" t="s">
        <v>341</v>
      </c>
      <c r="T5" s="54" t="s">
        <v>342</v>
      </c>
      <c r="U5" s="40"/>
      <c r="V5" s="40"/>
      <c r="W5" s="40"/>
      <c r="X5" s="40"/>
      <c r="Y5" s="40"/>
      <c r="Z5" s="40"/>
    </row>
    <row r="6" spans="1:26" ht="51" x14ac:dyDescent="0.2">
      <c r="A6" s="42" t="s">
        <v>196</v>
      </c>
      <c r="B6" s="42" t="s">
        <v>286</v>
      </c>
      <c r="C6" s="42" t="s">
        <v>226</v>
      </c>
      <c r="D6" s="39" t="s">
        <v>285</v>
      </c>
      <c r="E6" s="39"/>
      <c r="F6" s="42" t="s">
        <v>280</v>
      </c>
      <c r="G6" s="42" t="s">
        <v>47</v>
      </c>
      <c r="H6" s="43">
        <v>3.94</v>
      </c>
      <c r="I6" s="39"/>
      <c r="J6" s="39"/>
      <c r="K6" s="42" t="s">
        <v>284</v>
      </c>
      <c r="L6" s="42" t="s">
        <v>51</v>
      </c>
      <c r="M6" s="39"/>
      <c r="N6" s="39"/>
      <c r="O6" s="42" t="s">
        <v>12</v>
      </c>
      <c r="P6" s="42" t="s">
        <v>283</v>
      </c>
      <c r="Q6" s="40"/>
      <c r="R6" s="38" t="s">
        <v>343</v>
      </c>
      <c r="S6" s="54" t="s">
        <v>344</v>
      </c>
      <c r="T6" s="54" t="s">
        <v>345</v>
      </c>
      <c r="U6" s="40"/>
      <c r="V6" s="40"/>
      <c r="W6" s="40"/>
      <c r="X6" s="40"/>
      <c r="Y6" s="40"/>
      <c r="Z6" s="40"/>
    </row>
    <row r="7" spans="1:26" ht="16" x14ac:dyDescent="0.2">
      <c r="A7" s="42" t="s">
        <v>183</v>
      </c>
      <c r="B7" s="42" t="s">
        <v>282</v>
      </c>
      <c r="C7" s="42" t="s">
        <v>226</v>
      </c>
      <c r="D7" s="39" t="s">
        <v>281</v>
      </c>
      <c r="E7" s="39"/>
      <c r="F7" s="42" t="s">
        <v>280</v>
      </c>
      <c r="G7" s="42" t="s">
        <v>45</v>
      </c>
      <c r="H7" s="43"/>
      <c r="I7" s="39"/>
      <c r="J7" s="39"/>
      <c r="K7" s="42" t="s">
        <v>279</v>
      </c>
      <c r="L7" s="42" t="s">
        <v>51</v>
      </c>
      <c r="M7" s="39"/>
      <c r="N7" s="39"/>
      <c r="O7" s="42" t="s">
        <v>35</v>
      </c>
      <c r="P7" s="42" t="s">
        <v>278</v>
      </c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6" x14ac:dyDescent="0.2">
      <c r="A8" s="42" t="s">
        <v>176</v>
      </c>
      <c r="B8" s="42" t="s">
        <v>277</v>
      </c>
      <c r="C8" s="42" t="s">
        <v>226</v>
      </c>
      <c r="D8" s="39" t="s">
        <v>276</v>
      </c>
      <c r="E8" s="39"/>
      <c r="F8" s="42" t="s">
        <v>258</v>
      </c>
      <c r="G8" s="42" t="s">
        <v>51</v>
      </c>
      <c r="H8" s="43">
        <v>3.07</v>
      </c>
      <c r="I8" s="39"/>
      <c r="J8" s="39"/>
      <c r="K8" s="42" t="s">
        <v>275</v>
      </c>
      <c r="L8" s="42" t="s">
        <v>51</v>
      </c>
      <c r="M8" s="39"/>
      <c r="N8" s="39"/>
      <c r="O8" s="42" t="s">
        <v>36</v>
      </c>
      <c r="P8" s="42" t="s">
        <v>274</v>
      </c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6" x14ac:dyDescent="0.2">
      <c r="A9" s="42" t="s">
        <v>170</v>
      </c>
      <c r="B9" s="42" t="s">
        <v>273</v>
      </c>
      <c r="C9" s="42" t="s">
        <v>226</v>
      </c>
      <c r="D9" s="39" t="s">
        <v>272</v>
      </c>
      <c r="E9" s="39"/>
      <c r="F9" s="42" t="s">
        <v>258</v>
      </c>
      <c r="G9" s="42" t="s">
        <v>50</v>
      </c>
      <c r="H9" s="43">
        <v>3.18</v>
      </c>
      <c r="I9" s="39"/>
      <c r="J9" s="39"/>
      <c r="K9" s="42" t="s">
        <v>271</v>
      </c>
      <c r="L9" s="42" t="s">
        <v>51</v>
      </c>
      <c r="M9" s="39"/>
      <c r="N9" s="39"/>
      <c r="O9" s="42" t="s">
        <v>37</v>
      </c>
      <c r="P9" s="42" t="s">
        <v>270</v>
      </c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6" x14ac:dyDescent="0.2">
      <c r="A10" s="42" t="s">
        <v>164</v>
      </c>
      <c r="B10" s="42" t="s">
        <v>269</v>
      </c>
      <c r="C10" s="42" t="s">
        <v>252</v>
      </c>
      <c r="D10" s="39" t="s">
        <v>268</v>
      </c>
      <c r="E10" s="39"/>
      <c r="F10" s="42" t="s">
        <v>258</v>
      </c>
      <c r="G10" s="42" t="s">
        <v>49</v>
      </c>
      <c r="H10" s="43">
        <v>3.21</v>
      </c>
      <c r="I10" s="39"/>
      <c r="J10" s="39"/>
      <c r="K10" s="42" t="s">
        <v>267</v>
      </c>
      <c r="L10" s="42" t="s">
        <v>51</v>
      </c>
      <c r="M10" s="39"/>
      <c r="N10" s="39"/>
      <c r="O10" s="40"/>
      <c r="P10" s="40"/>
      <c r="Q10" s="40"/>
      <c r="R10" s="40"/>
      <c r="S10" s="40"/>
      <c r="T10" s="71" t="s">
        <v>314</v>
      </c>
      <c r="U10" s="71"/>
      <c r="V10" s="40"/>
      <c r="W10" s="40"/>
      <c r="X10" s="40"/>
      <c r="Y10" s="40"/>
      <c r="Z10" s="40"/>
    </row>
    <row r="11" spans="1:26" ht="16" x14ac:dyDescent="0.2">
      <c r="A11" s="42" t="s">
        <v>158</v>
      </c>
      <c r="B11" s="42" t="s">
        <v>266</v>
      </c>
      <c r="C11" s="42" t="s">
        <v>252</v>
      </c>
      <c r="D11" s="39" t="s">
        <v>265</v>
      </c>
      <c r="E11" s="39"/>
      <c r="F11" s="42" t="s">
        <v>258</v>
      </c>
      <c r="G11" s="42" t="s">
        <v>48</v>
      </c>
      <c r="H11" s="43">
        <v>3.22</v>
      </c>
      <c r="I11" s="39"/>
      <c r="J11" s="39"/>
      <c r="K11" s="42" t="s">
        <v>264</v>
      </c>
      <c r="L11" s="42" t="s">
        <v>51</v>
      </c>
      <c r="M11" s="39"/>
      <c r="N11" s="39"/>
      <c r="O11" s="40"/>
      <c r="P11" s="40"/>
      <c r="Q11" s="40"/>
      <c r="R11" s="40"/>
      <c r="S11" s="40"/>
      <c r="T11" s="11" t="s">
        <v>315</v>
      </c>
      <c r="U11" s="11"/>
      <c r="V11" s="40"/>
      <c r="W11" s="40"/>
      <c r="X11" s="40"/>
      <c r="Y11" s="40"/>
      <c r="Z11" s="40"/>
    </row>
    <row r="12" spans="1:26" ht="16" x14ac:dyDescent="0.2">
      <c r="A12" s="42" t="s">
        <v>214</v>
      </c>
      <c r="B12" s="42" t="s">
        <v>263</v>
      </c>
      <c r="C12" s="42" t="s">
        <v>226</v>
      </c>
      <c r="D12" s="39" t="s">
        <v>262</v>
      </c>
      <c r="E12" s="39"/>
      <c r="F12" s="42" t="s">
        <v>258</v>
      </c>
      <c r="G12" s="42" t="s">
        <v>47</v>
      </c>
      <c r="H12" s="43">
        <v>3.5</v>
      </c>
      <c r="I12" s="39"/>
      <c r="J12" s="39"/>
      <c r="K12" s="42" t="s">
        <v>261</v>
      </c>
      <c r="L12" s="42" t="s">
        <v>51</v>
      </c>
      <c r="M12" s="39"/>
      <c r="N12" s="39"/>
      <c r="O12" s="40"/>
      <c r="P12" s="40"/>
      <c r="Q12" s="40"/>
      <c r="R12" s="40"/>
      <c r="S12" s="40"/>
      <c r="T12" s="84" t="s">
        <v>316</v>
      </c>
      <c r="U12" s="84"/>
      <c r="V12" s="40"/>
      <c r="W12" s="40"/>
      <c r="X12" s="40"/>
      <c r="Y12" s="40"/>
      <c r="Z12" s="40"/>
    </row>
    <row r="13" spans="1:26" ht="16" x14ac:dyDescent="0.2">
      <c r="A13" s="42" t="s">
        <v>152</v>
      </c>
      <c r="B13" s="42" t="s">
        <v>260</v>
      </c>
      <c r="C13" s="42" t="s">
        <v>252</v>
      </c>
      <c r="D13" s="39" t="s">
        <v>259</v>
      </c>
      <c r="E13" s="39"/>
      <c r="F13" s="42" t="s">
        <v>258</v>
      </c>
      <c r="G13" s="42" t="s">
        <v>45</v>
      </c>
      <c r="H13" s="43"/>
      <c r="I13" s="39"/>
      <c r="J13" s="39"/>
      <c r="K13" s="42" t="s">
        <v>257</v>
      </c>
      <c r="L13" s="42" t="s">
        <v>51</v>
      </c>
      <c r="M13" s="39"/>
      <c r="N13" s="39"/>
      <c r="O13" s="40"/>
      <c r="P13" s="40"/>
      <c r="Q13" s="40"/>
      <c r="R13" s="40"/>
      <c r="S13" s="40"/>
      <c r="T13" s="84" t="s">
        <v>317</v>
      </c>
      <c r="U13" s="84"/>
      <c r="V13" s="40"/>
      <c r="W13" s="40"/>
      <c r="X13" s="40"/>
      <c r="Y13" s="40"/>
      <c r="Z13" s="40"/>
    </row>
    <row r="14" spans="1:26" ht="16" x14ac:dyDescent="0.2">
      <c r="A14" s="42" t="s">
        <v>29</v>
      </c>
      <c r="B14" s="42" t="s">
        <v>30</v>
      </c>
      <c r="C14" s="42" t="s">
        <v>226</v>
      </c>
      <c r="D14" s="39"/>
      <c r="E14" s="39"/>
      <c r="F14" s="42" t="s">
        <v>244</v>
      </c>
      <c r="G14" s="42" t="s">
        <v>51</v>
      </c>
      <c r="H14" s="43">
        <v>3.81</v>
      </c>
      <c r="I14" s="39"/>
      <c r="J14" s="39"/>
      <c r="K14" s="42" t="s">
        <v>256</v>
      </c>
      <c r="L14" s="42" t="s">
        <v>51</v>
      </c>
      <c r="M14" s="39"/>
      <c r="N14" s="39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6" x14ac:dyDescent="0.2">
      <c r="A15" s="42" t="s">
        <v>41</v>
      </c>
      <c r="B15" s="42" t="s">
        <v>43</v>
      </c>
      <c r="C15" s="42" t="s">
        <v>226</v>
      </c>
      <c r="D15" s="39"/>
      <c r="E15" s="39"/>
      <c r="F15" s="42" t="s">
        <v>244</v>
      </c>
      <c r="G15" s="42" t="s">
        <v>50</v>
      </c>
      <c r="H15" s="43">
        <v>3.85</v>
      </c>
      <c r="I15" s="39"/>
      <c r="J15" s="39"/>
      <c r="K15" s="42" t="s">
        <v>255</v>
      </c>
      <c r="L15" s="42" t="s">
        <v>51</v>
      </c>
      <c r="M15" s="39"/>
      <c r="N15" s="39"/>
      <c r="O15" s="40"/>
      <c r="P15" s="40"/>
      <c r="Q15" s="40"/>
      <c r="R15" s="40"/>
      <c r="S15" s="40"/>
      <c r="T15" s="71" t="s">
        <v>340</v>
      </c>
      <c r="U15" s="71"/>
      <c r="V15" s="40"/>
      <c r="W15" s="40"/>
      <c r="X15" s="40"/>
      <c r="Y15" s="40"/>
      <c r="Z15" s="40"/>
    </row>
    <row r="16" spans="1:26" ht="16" x14ac:dyDescent="0.2">
      <c r="A16" s="42" t="s">
        <v>38</v>
      </c>
      <c r="B16" s="42" t="s">
        <v>39</v>
      </c>
      <c r="C16" s="42" t="s">
        <v>226</v>
      </c>
      <c r="D16" s="39"/>
      <c r="E16" s="39"/>
      <c r="F16" s="42" t="s">
        <v>244</v>
      </c>
      <c r="G16" s="42" t="s">
        <v>49</v>
      </c>
      <c r="H16" s="43">
        <v>3.88</v>
      </c>
      <c r="I16" s="39"/>
      <c r="J16" s="39"/>
      <c r="K16" s="42" t="s">
        <v>254</v>
      </c>
      <c r="L16" s="42" t="s">
        <v>51</v>
      </c>
      <c r="M16" s="39"/>
      <c r="N16" s="39"/>
      <c r="O16" s="40"/>
      <c r="P16" s="40"/>
      <c r="Q16" s="40"/>
      <c r="R16" s="40"/>
      <c r="S16" s="40"/>
      <c r="T16" s="11" t="s">
        <v>346</v>
      </c>
      <c r="U16" s="11"/>
      <c r="V16" s="40"/>
      <c r="W16" s="40"/>
      <c r="X16" s="40"/>
      <c r="Y16" s="40"/>
      <c r="Z16" s="40"/>
    </row>
    <row r="17" spans="1:26" ht="16" x14ac:dyDescent="0.2">
      <c r="A17" s="42" t="s">
        <v>117</v>
      </c>
      <c r="B17" s="42" t="s">
        <v>253</v>
      </c>
      <c r="C17" s="42" t="s">
        <v>252</v>
      </c>
      <c r="D17" s="39" t="s">
        <v>251</v>
      </c>
      <c r="E17" s="39"/>
      <c r="F17" s="42" t="s">
        <v>244</v>
      </c>
      <c r="G17" s="42" t="s">
        <v>48</v>
      </c>
      <c r="H17" s="43">
        <v>3.99</v>
      </c>
      <c r="I17" s="39"/>
      <c r="J17" s="39"/>
      <c r="K17" s="42" t="s">
        <v>250</v>
      </c>
      <c r="L17" s="42" t="s">
        <v>51</v>
      </c>
      <c r="M17" s="39"/>
      <c r="N17" s="39"/>
      <c r="O17" s="40"/>
      <c r="P17" s="40"/>
      <c r="Q17" s="40"/>
      <c r="R17" s="40"/>
      <c r="S17" s="40"/>
      <c r="T17" s="84" t="s">
        <v>347</v>
      </c>
      <c r="U17" s="84"/>
      <c r="V17" s="40"/>
      <c r="W17" s="40"/>
      <c r="X17" s="40"/>
      <c r="Y17" s="40"/>
      <c r="Z17" s="40"/>
    </row>
    <row r="18" spans="1:26" ht="16" x14ac:dyDescent="0.2">
      <c r="A18" s="42" t="s">
        <v>109</v>
      </c>
      <c r="B18" s="42" t="s">
        <v>249</v>
      </c>
      <c r="C18" s="42" t="s">
        <v>226</v>
      </c>
      <c r="D18" s="39" t="s">
        <v>248</v>
      </c>
      <c r="E18" s="39"/>
      <c r="F18" s="42" t="s">
        <v>244</v>
      </c>
      <c r="G18" s="42" t="s">
        <v>47</v>
      </c>
      <c r="H18" s="43">
        <v>4.49</v>
      </c>
      <c r="I18" s="39"/>
      <c r="J18" s="39"/>
      <c r="K18" s="42" t="s">
        <v>247</v>
      </c>
      <c r="L18" s="42" t="s">
        <v>51</v>
      </c>
      <c r="M18" s="39"/>
      <c r="N18" s="39"/>
      <c r="O18" s="40"/>
      <c r="P18" s="40"/>
      <c r="Q18" s="40"/>
      <c r="R18" s="40"/>
      <c r="S18" s="40"/>
      <c r="T18" s="84" t="s">
        <v>348</v>
      </c>
      <c r="U18" s="84"/>
      <c r="V18" s="40"/>
      <c r="W18" s="40"/>
      <c r="X18" s="40"/>
      <c r="Y18" s="40"/>
      <c r="Z18" s="40"/>
    </row>
    <row r="19" spans="1:26" ht="16" x14ac:dyDescent="0.2">
      <c r="A19" s="42" t="s">
        <v>102</v>
      </c>
      <c r="B19" s="42" t="s">
        <v>246</v>
      </c>
      <c r="C19" s="42" t="s">
        <v>226</v>
      </c>
      <c r="D19" s="39" t="s">
        <v>245</v>
      </c>
      <c r="E19" s="39"/>
      <c r="F19" s="42" t="s">
        <v>244</v>
      </c>
      <c r="G19" s="42" t="s">
        <v>45</v>
      </c>
      <c r="H19" s="43"/>
      <c r="I19" s="39"/>
      <c r="J19" s="39"/>
      <c r="K19" s="42" t="s">
        <v>243</v>
      </c>
      <c r="L19" s="42" t="s">
        <v>51</v>
      </c>
      <c r="M19" s="39"/>
      <c r="N19" s="39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6" x14ac:dyDescent="0.2">
      <c r="A20" s="42" t="s">
        <v>95</v>
      </c>
      <c r="B20" s="42" t="s">
        <v>242</v>
      </c>
      <c r="C20" s="42" t="s">
        <v>226</v>
      </c>
      <c r="D20" s="39" t="s">
        <v>241</v>
      </c>
      <c r="E20" s="39"/>
      <c r="F20" s="42" t="s">
        <v>231</v>
      </c>
      <c r="G20" s="42" t="s">
        <v>51</v>
      </c>
      <c r="H20" s="44">
        <v>4.07</v>
      </c>
      <c r="I20" s="39"/>
      <c r="J20" s="39"/>
      <c r="K20" s="42" t="s">
        <v>240</v>
      </c>
      <c r="L20" s="42" t="s">
        <v>51</v>
      </c>
      <c r="M20" s="39"/>
      <c r="N20" s="39"/>
      <c r="O20" s="40"/>
      <c r="P20" s="40"/>
      <c r="Q20" s="40"/>
      <c r="R20" s="40"/>
      <c r="S20" s="40"/>
      <c r="T20" s="71" t="s">
        <v>343</v>
      </c>
      <c r="U20" s="71"/>
      <c r="V20" s="40"/>
      <c r="W20" s="40"/>
      <c r="X20" s="40"/>
      <c r="Y20" s="40"/>
      <c r="Z20" s="40"/>
    </row>
    <row r="21" spans="1:26" ht="15.75" customHeight="1" x14ac:dyDescent="0.2">
      <c r="A21" s="42" t="s">
        <v>88</v>
      </c>
      <c r="B21" s="42" t="s">
        <v>239</v>
      </c>
      <c r="C21" s="42" t="s">
        <v>226</v>
      </c>
      <c r="D21" s="39"/>
      <c r="E21" s="39"/>
      <c r="F21" s="42" t="s">
        <v>231</v>
      </c>
      <c r="G21" s="42" t="s">
        <v>50</v>
      </c>
      <c r="H21" s="43">
        <v>4.3499999999999996</v>
      </c>
      <c r="I21" s="39"/>
      <c r="J21" s="39"/>
      <c r="K21" s="42" t="s">
        <v>238</v>
      </c>
      <c r="L21" s="42" t="s">
        <v>51</v>
      </c>
      <c r="M21" s="39"/>
      <c r="N21" s="39"/>
      <c r="O21" s="40"/>
      <c r="P21" s="40"/>
      <c r="Q21" s="40"/>
      <c r="R21" s="40"/>
      <c r="S21" s="40"/>
      <c r="T21" s="11" t="s">
        <v>349</v>
      </c>
      <c r="U21" s="11"/>
      <c r="V21" s="40"/>
      <c r="W21" s="40"/>
      <c r="X21" s="40"/>
      <c r="Y21" s="40"/>
      <c r="Z21" s="40"/>
    </row>
    <row r="22" spans="1:26" ht="16" x14ac:dyDescent="0.2">
      <c r="A22" s="42" t="s">
        <v>81</v>
      </c>
      <c r="B22" s="42" t="s">
        <v>237</v>
      </c>
      <c r="C22" s="42" t="s">
        <v>226</v>
      </c>
      <c r="D22" s="39"/>
      <c r="E22" s="39"/>
      <c r="F22" s="42" t="s">
        <v>231</v>
      </c>
      <c r="G22" s="42" t="s">
        <v>49</v>
      </c>
      <c r="H22" s="43">
        <v>4.6100000000000003</v>
      </c>
      <c r="I22" s="39"/>
      <c r="J22" s="39"/>
      <c r="K22" s="42" t="s">
        <v>236</v>
      </c>
      <c r="L22" s="42" t="s">
        <v>51</v>
      </c>
      <c r="M22" s="39"/>
      <c r="N22" s="39"/>
      <c r="O22" s="40"/>
      <c r="P22" s="40"/>
      <c r="Q22" s="40"/>
      <c r="R22" s="40"/>
      <c r="S22" s="40"/>
      <c r="T22" s="84" t="s">
        <v>350</v>
      </c>
      <c r="U22" s="84"/>
      <c r="V22" s="40"/>
      <c r="W22" s="40"/>
      <c r="X22" s="40"/>
      <c r="Y22" s="40"/>
      <c r="Z22" s="40"/>
    </row>
    <row r="23" spans="1:26" ht="16" x14ac:dyDescent="0.2">
      <c r="A23" s="42" t="s">
        <v>74</v>
      </c>
      <c r="B23" s="42" t="s">
        <v>235</v>
      </c>
      <c r="C23" s="42" t="s">
        <v>226</v>
      </c>
      <c r="D23" s="39"/>
      <c r="E23" s="39"/>
      <c r="F23" s="42" t="s">
        <v>231</v>
      </c>
      <c r="G23" s="42" t="s">
        <v>48</v>
      </c>
      <c r="H23" s="43">
        <v>4.46</v>
      </c>
      <c r="I23" s="39"/>
      <c r="J23" s="39"/>
      <c r="K23" s="42" t="s">
        <v>234</v>
      </c>
      <c r="L23" s="42" t="s">
        <v>51</v>
      </c>
      <c r="M23" s="39"/>
      <c r="N23" s="39"/>
      <c r="O23" s="40"/>
      <c r="P23" s="40"/>
      <c r="Q23" s="40"/>
      <c r="R23" s="40"/>
      <c r="S23" s="40"/>
      <c r="T23" s="84" t="s">
        <v>351</v>
      </c>
      <c r="U23" s="84"/>
      <c r="V23" s="40"/>
      <c r="W23" s="40"/>
      <c r="X23" s="40"/>
      <c r="Y23" s="40"/>
      <c r="Z23" s="40"/>
    </row>
    <row r="24" spans="1:26" ht="15.75" customHeight="1" x14ac:dyDescent="0.2">
      <c r="A24" s="42" t="s">
        <v>67</v>
      </c>
      <c r="B24" s="42" t="s">
        <v>233</v>
      </c>
      <c r="C24" s="42" t="s">
        <v>226</v>
      </c>
      <c r="D24" s="39"/>
      <c r="E24" s="39"/>
      <c r="F24" s="42" t="s">
        <v>231</v>
      </c>
      <c r="G24" s="42" t="s">
        <v>47</v>
      </c>
      <c r="H24" s="43">
        <v>5.07</v>
      </c>
      <c r="I24" s="39"/>
      <c r="J24" s="39"/>
      <c r="K24" s="42" t="s">
        <v>232</v>
      </c>
      <c r="L24" s="42" t="s">
        <v>51</v>
      </c>
      <c r="M24" s="39"/>
      <c r="N24" s="39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5.75" customHeight="1" x14ac:dyDescent="0.2">
      <c r="A25" s="42" t="s">
        <v>65</v>
      </c>
      <c r="B25" s="42" t="s">
        <v>229</v>
      </c>
      <c r="C25" s="42" t="s">
        <v>226</v>
      </c>
      <c r="D25" s="39"/>
      <c r="E25" s="39"/>
      <c r="F25" s="42" t="s">
        <v>231</v>
      </c>
      <c r="G25" s="42" t="s">
        <v>45</v>
      </c>
      <c r="H25" s="43"/>
      <c r="I25" s="39"/>
      <c r="J25" s="39"/>
      <c r="K25" s="42" t="s">
        <v>230</v>
      </c>
      <c r="L25" s="42" t="s">
        <v>51</v>
      </c>
      <c r="M25" s="39"/>
      <c r="N25" s="39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5.75" customHeight="1" x14ac:dyDescent="0.2">
      <c r="A26" s="45" t="s">
        <v>64</v>
      </c>
      <c r="B26" s="45" t="s">
        <v>227</v>
      </c>
      <c r="C26" s="45" t="s">
        <v>226</v>
      </c>
      <c r="D26" s="39"/>
      <c r="E26" s="39"/>
      <c r="F26" s="42" t="s">
        <v>214</v>
      </c>
      <c r="G26" s="42" t="s">
        <v>51</v>
      </c>
      <c r="H26" s="43">
        <v>6.42</v>
      </c>
      <c r="I26" s="39"/>
      <c r="J26" s="39"/>
      <c r="K26" s="42" t="s">
        <v>228</v>
      </c>
      <c r="L26" s="42" t="s">
        <v>51</v>
      </c>
      <c r="M26" s="39"/>
      <c r="N26" s="39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5.75" customHeight="1" x14ac:dyDescent="0.2">
      <c r="A27" s="45" t="s">
        <v>63</v>
      </c>
      <c r="B27" s="45" t="s">
        <v>224</v>
      </c>
      <c r="C27" s="45" t="s">
        <v>223</v>
      </c>
      <c r="D27" s="39"/>
      <c r="E27" s="39"/>
      <c r="F27" s="42" t="s">
        <v>214</v>
      </c>
      <c r="G27" s="42" t="s">
        <v>50</v>
      </c>
      <c r="H27" s="43">
        <v>6.93</v>
      </c>
      <c r="I27" s="39"/>
      <c r="J27" s="39"/>
      <c r="K27" s="42" t="s">
        <v>225</v>
      </c>
      <c r="L27" s="42" t="s">
        <v>51</v>
      </c>
      <c r="M27" s="39"/>
      <c r="N27" s="39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5.75" customHeight="1" x14ac:dyDescent="0.2">
      <c r="A28" s="42" t="s">
        <v>62</v>
      </c>
      <c r="B28" s="42" t="s">
        <v>220</v>
      </c>
      <c r="C28" s="42" t="s">
        <v>219</v>
      </c>
      <c r="D28" s="39" t="s">
        <v>222</v>
      </c>
      <c r="E28" s="39"/>
      <c r="F28" s="42" t="s">
        <v>214</v>
      </c>
      <c r="G28" s="42" t="s">
        <v>49</v>
      </c>
      <c r="H28" s="43">
        <v>7.2</v>
      </c>
      <c r="I28" s="39"/>
      <c r="J28" s="39"/>
      <c r="K28" s="42" t="s">
        <v>221</v>
      </c>
      <c r="L28" s="42" t="s">
        <v>51</v>
      </c>
      <c r="M28" s="39"/>
      <c r="N28" s="39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5.75" customHeight="1" x14ac:dyDescent="0.2">
      <c r="A29" s="42" t="s">
        <v>61</v>
      </c>
      <c r="B29" s="42" t="s">
        <v>216</v>
      </c>
      <c r="C29" s="42"/>
      <c r="D29" s="39" t="s">
        <v>218</v>
      </c>
      <c r="E29" s="39"/>
      <c r="F29" s="42" t="s">
        <v>214</v>
      </c>
      <c r="G29" s="42" t="s">
        <v>48</v>
      </c>
      <c r="H29" s="43">
        <v>7.21</v>
      </c>
      <c r="I29" s="39"/>
      <c r="J29" s="39"/>
      <c r="K29" s="42" t="s">
        <v>217</v>
      </c>
      <c r="L29" s="42" t="s">
        <v>51</v>
      </c>
      <c r="M29" s="39"/>
      <c r="N29" s="39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5.75" customHeight="1" x14ac:dyDescent="0.2">
      <c r="A30" s="42" t="s">
        <v>60</v>
      </c>
      <c r="B30" s="42" t="s">
        <v>215</v>
      </c>
      <c r="C30" s="42"/>
      <c r="D30" s="39"/>
      <c r="E30" s="39"/>
      <c r="F30" s="42" t="s">
        <v>214</v>
      </c>
      <c r="G30" s="42" t="s">
        <v>47</v>
      </c>
      <c r="H30" s="43">
        <v>8.01</v>
      </c>
      <c r="I30" s="39"/>
      <c r="J30" s="39"/>
      <c r="K30" s="42" t="s">
        <v>31</v>
      </c>
      <c r="L30" s="42" t="s">
        <v>51</v>
      </c>
      <c r="M30" s="39"/>
      <c r="N30" s="39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5.75" customHeight="1" x14ac:dyDescent="0.2">
      <c r="A31" s="42" t="s">
        <v>59</v>
      </c>
      <c r="B31" s="42" t="s">
        <v>212</v>
      </c>
      <c r="C31" s="42"/>
      <c r="D31" s="39"/>
      <c r="E31" s="39"/>
      <c r="F31" s="42" t="s">
        <v>214</v>
      </c>
      <c r="G31" s="42" t="s">
        <v>45</v>
      </c>
      <c r="H31" s="43"/>
      <c r="I31" s="39"/>
      <c r="J31" s="39"/>
      <c r="K31" s="42" t="s">
        <v>213</v>
      </c>
      <c r="L31" s="42" t="s">
        <v>51</v>
      </c>
      <c r="M31" s="39"/>
      <c r="N31" s="39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5.75" customHeight="1" x14ac:dyDescent="0.2">
      <c r="A32" s="42" t="s">
        <v>210</v>
      </c>
      <c r="B32" s="42" t="s">
        <v>209</v>
      </c>
      <c r="C32" s="42"/>
      <c r="D32" s="39"/>
      <c r="E32" s="39"/>
      <c r="F32" s="42" t="s">
        <v>196</v>
      </c>
      <c r="G32" s="42" t="s">
        <v>51</v>
      </c>
      <c r="H32" s="43"/>
      <c r="I32" s="39"/>
      <c r="J32" s="39"/>
      <c r="K32" s="42" t="s">
        <v>211</v>
      </c>
      <c r="L32" s="42" t="s">
        <v>51</v>
      </c>
      <c r="M32" s="39"/>
      <c r="N32" s="39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5.75" customHeight="1" x14ac:dyDescent="0.2">
      <c r="A33" s="42" t="s">
        <v>207</v>
      </c>
      <c r="B33" s="42" t="s">
        <v>206</v>
      </c>
      <c r="C33" s="42"/>
      <c r="D33" s="39"/>
      <c r="E33" s="39"/>
      <c r="F33" s="42" t="s">
        <v>196</v>
      </c>
      <c r="G33" s="42" t="s">
        <v>50</v>
      </c>
      <c r="H33" s="43"/>
      <c r="I33" s="39"/>
      <c r="J33" s="39"/>
      <c r="K33" s="42" t="s">
        <v>208</v>
      </c>
      <c r="L33" s="42" t="s">
        <v>51</v>
      </c>
      <c r="M33" s="39"/>
      <c r="N33" s="39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5.75" customHeight="1" x14ac:dyDescent="0.2">
      <c r="A34" s="42" t="s">
        <v>204</v>
      </c>
      <c r="B34" s="42" t="s">
        <v>203</v>
      </c>
      <c r="C34" s="42"/>
      <c r="D34" s="39"/>
      <c r="E34" s="39"/>
      <c r="F34" s="42" t="s">
        <v>196</v>
      </c>
      <c r="G34" s="42" t="s">
        <v>49</v>
      </c>
      <c r="H34" s="43"/>
      <c r="I34" s="39"/>
      <c r="J34" s="39"/>
      <c r="K34" s="42" t="s">
        <v>205</v>
      </c>
      <c r="L34" s="42" t="s">
        <v>51</v>
      </c>
      <c r="M34" s="39"/>
      <c r="N34" s="39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5.75" customHeight="1" x14ac:dyDescent="0.2">
      <c r="A35" s="42" t="s">
        <v>201</v>
      </c>
      <c r="B35" s="42" t="s">
        <v>200</v>
      </c>
      <c r="C35" s="42"/>
      <c r="D35" s="39"/>
      <c r="E35" s="39"/>
      <c r="F35" s="42" t="s">
        <v>196</v>
      </c>
      <c r="G35" s="42" t="s">
        <v>48</v>
      </c>
      <c r="H35" s="43"/>
      <c r="I35" s="39"/>
      <c r="J35" s="39"/>
      <c r="K35" s="42" t="s">
        <v>202</v>
      </c>
      <c r="L35" s="42" t="s">
        <v>51</v>
      </c>
      <c r="M35" s="39"/>
      <c r="N35" s="39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5.75" customHeight="1" x14ac:dyDescent="0.2">
      <c r="A36" s="42" t="s">
        <v>198</v>
      </c>
      <c r="B36" s="42" t="s">
        <v>197</v>
      </c>
      <c r="C36" s="42"/>
      <c r="D36" s="39"/>
      <c r="E36" s="39"/>
      <c r="F36" s="42" t="s">
        <v>196</v>
      </c>
      <c r="G36" s="42" t="s">
        <v>47</v>
      </c>
      <c r="H36" s="43"/>
      <c r="I36" s="39"/>
      <c r="J36" s="39"/>
      <c r="K36" s="42" t="s">
        <v>199</v>
      </c>
      <c r="L36" s="42" t="s">
        <v>51</v>
      </c>
      <c r="M36" s="39"/>
      <c r="N36" s="39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5.75" customHeight="1" x14ac:dyDescent="0.2">
      <c r="A37" s="42" t="s">
        <v>194</v>
      </c>
      <c r="B37" s="42" t="s">
        <v>193</v>
      </c>
      <c r="C37" s="42"/>
      <c r="D37" s="39"/>
      <c r="E37" s="39"/>
      <c r="F37" s="42" t="s">
        <v>196</v>
      </c>
      <c r="G37" s="42" t="s">
        <v>45</v>
      </c>
      <c r="H37" s="43"/>
      <c r="I37" s="39"/>
      <c r="J37" s="39"/>
      <c r="K37" s="42" t="s">
        <v>195</v>
      </c>
      <c r="L37" s="42" t="s">
        <v>51</v>
      </c>
      <c r="M37" s="39"/>
      <c r="N37" s="39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5.75" customHeight="1" x14ac:dyDescent="0.2">
      <c r="A38" s="42" t="s">
        <v>58</v>
      </c>
      <c r="B38" s="42" t="s">
        <v>191</v>
      </c>
      <c r="C38" s="42"/>
      <c r="D38" s="39"/>
      <c r="E38" s="39"/>
      <c r="F38" s="42" t="s">
        <v>183</v>
      </c>
      <c r="G38" s="42" t="s">
        <v>51</v>
      </c>
      <c r="H38" s="43">
        <v>3.64</v>
      </c>
      <c r="I38" s="39"/>
      <c r="J38" s="39"/>
      <c r="K38" s="42" t="s">
        <v>192</v>
      </c>
      <c r="L38" s="42" t="s">
        <v>51</v>
      </c>
      <c r="M38" s="39"/>
      <c r="N38" s="39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5.75" customHeight="1" x14ac:dyDescent="0.2">
      <c r="A39" s="42" t="s">
        <v>57</v>
      </c>
      <c r="B39" s="42" t="s">
        <v>189</v>
      </c>
      <c r="C39" s="42"/>
      <c r="D39" s="39"/>
      <c r="E39" s="39"/>
      <c r="F39" s="42" t="s">
        <v>183</v>
      </c>
      <c r="G39" s="42" t="s">
        <v>50</v>
      </c>
      <c r="H39" s="43">
        <v>3.73</v>
      </c>
      <c r="I39" s="39"/>
      <c r="J39" s="39"/>
      <c r="K39" s="42" t="s">
        <v>190</v>
      </c>
      <c r="L39" s="42" t="s">
        <v>51</v>
      </c>
      <c r="M39" s="39"/>
      <c r="N39" s="39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5.75" customHeight="1" x14ac:dyDescent="0.2">
      <c r="A40" s="42" t="s">
        <v>56</v>
      </c>
      <c r="B40" s="42" t="s">
        <v>187</v>
      </c>
      <c r="C40" s="42"/>
      <c r="D40" s="39"/>
      <c r="E40" s="39"/>
      <c r="F40" s="42" t="s">
        <v>183</v>
      </c>
      <c r="G40" s="42" t="s">
        <v>49</v>
      </c>
      <c r="H40" s="43">
        <v>3.9</v>
      </c>
      <c r="I40" s="39"/>
      <c r="J40" s="39"/>
      <c r="K40" s="42" t="s">
        <v>188</v>
      </c>
      <c r="L40" s="42" t="s">
        <v>51</v>
      </c>
      <c r="M40" s="39"/>
      <c r="N40" s="39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5.75" customHeight="1" x14ac:dyDescent="0.2">
      <c r="A41" s="42" t="s">
        <v>55</v>
      </c>
      <c r="B41" s="42" t="s">
        <v>185</v>
      </c>
      <c r="C41" s="42"/>
      <c r="D41" s="39"/>
      <c r="E41" s="39"/>
      <c r="F41" s="42" t="s">
        <v>183</v>
      </c>
      <c r="G41" s="42" t="s">
        <v>48</v>
      </c>
      <c r="H41" s="43">
        <v>4.08</v>
      </c>
      <c r="I41" s="39"/>
      <c r="J41" s="39"/>
      <c r="K41" s="42" t="s">
        <v>186</v>
      </c>
      <c r="L41" s="42" t="s">
        <v>51</v>
      </c>
      <c r="M41" s="39"/>
      <c r="N41" s="39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5.75" customHeight="1" x14ac:dyDescent="0.2">
      <c r="A42" s="42" t="s">
        <v>40</v>
      </c>
      <c r="B42" s="42" t="s">
        <v>42</v>
      </c>
      <c r="C42" s="42"/>
      <c r="D42" s="39"/>
      <c r="E42" s="39"/>
      <c r="F42" s="42" t="s">
        <v>183</v>
      </c>
      <c r="G42" s="42" t="s">
        <v>47</v>
      </c>
      <c r="H42" s="43">
        <v>4.49</v>
      </c>
      <c r="I42" s="39"/>
      <c r="J42" s="39"/>
      <c r="K42" s="42" t="s">
        <v>184</v>
      </c>
      <c r="L42" s="42" t="s">
        <v>51</v>
      </c>
      <c r="M42" s="39"/>
      <c r="N42" s="39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5.75" customHeight="1" x14ac:dyDescent="0.2">
      <c r="A43" s="42" t="s">
        <v>54</v>
      </c>
      <c r="B43" s="42" t="s">
        <v>181</v>
      </c>
      <c r="C43" s="42"/>
      <c r="D43" s="39"/>
      <c r="E43" s="39"/>
      <c r="F43" s="42" t="s">
        <v>183</v>
      </c>
      <c r="G43" s="42" t="s">
        <v>45</v>
      </c>
      <c r="H43" s="43"/>
      <c r="I43" s="39"/>
      <c r="J43" s="39"/>
      <c r="K43" s="42" t="s">
        <v>182</v>
      </c>
      <c r="L43" s="42" t="s">
        <v>51</v>
      </c>
      <c r="M43" s="39"/>
      <c r="N43" s="39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5.75" customHeight="1" x14ac:dyDescent="0.2">
      <c r="A44" s="42" t="s">
        <v>53</v>
      </c>
      <c r="B44" s="42"/>
      <c r="C44" s="42"/>
      <c r="D44" s="39"/>
      <c r="E44" s="39"/>
      <c r="F44" s="42" t="s">
        <v>176</v>
      </c>
      <c r="G44" s="42" t="s">
        <v>51</v>
      </c>
      <c r="H44" s="43">
        <v>3.74</v>
      </c>
      <c r="I44" s="39"/>
      <c r="J44" s="39"/>
      <c r="K44" s="42" t="s">
        <v>180</v>
      </c>
      <c r="L44" s="42" t="s">
        <v>51</v>
      </c>
      <c r="M44" s="39"/>
      <c r="N44" s="39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5.75" customHeight="1" x14ac:dyDescent="0.2">
      <c r="A45" s="42" t="s">
        <v>52</v>
      </c>
      <c r="B45" s="42"/>
      <c r="C45" s="42"/>
      <c r="D45" s="39"/>
      <c r="E45" s="39"/>
      <c r="F45" s="42" t="s">
        <v>176</v>
      </c>
      <c r="G45" s="42" t="s">
        <v>50</v>
      </c>
      <c r="H45" s="43">
        <v>3.78</v>
      </c>
      <c r="I45" s="39"/>
      <c r="J45" s="39"/>
      <c r="K45" s="42" t="s">
        <v>179</v>
      </c>
      <c r="L45" s="42" t="s">
        <v>51</v>
      </c>
      <c r="M45" s="39"/>
      <c r="N45" s="39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5.75" customHeight="1" x14ac:dyDescent="0.2">
      <c r="A46" s="45" t="s">
        <v>46</v>
      </c>
      <c r="B46" s="45"/>
      <c r="C46" s="45"/>
      <c r="D46" s="39"/>
      <c r="E46" s="39"/>
      <c r="F46" s="42" t="s">
        <v>176</v>
      </c>
      <c r="G46" s="42" t="s">
        <v>49</v>
      </c>
      <c r="H46" s="43">
        <v>3.97</v>
      </c>
      <c r="I46" s="39"/>
      <c r="J46" s="39"/>
      <c r="K46" s="42" t="s">
        <v>32</v>
      </c>
      <c r="L46" s="42" t="s">
        <v>51</v>
      </c>
      <c r="M46" s="39"/>
      <c r="N46" s="39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5.75" customHeight="1" x14ac:dyDescent="0.2">
      <c r="A47" s="39" t="s">
        <v>318</v>
      </c>
      <c r="B47" s="39" t="s">
        <v>319</v>
      </c>
      <c r="C47" s="39"/>
      <c r="D47" s="39"/>
      <c r="E47" s="39"/>
      <c r="F47" s="42" t="s">
        <v>176</v>
      </c>
      <c r="G47" s="42" t="s">
        <v>48</v>
      </c>
      <c r="H47" s="43">
        <v>3.95</v>
      </c>
      <c r="I47" s="39"/>
      <c r="J47" s="39"/>
      <c r="K47" s="42" t="s">
        <v>178</v>
      </c>
      <c r="L47" s="42" t="s">
        <v>51</v>
      </c>
      <c r="M47" s="39"/>
      <c r="N47" s="39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5.75" customHeight="1" x14ac:dyDescent="0.2">
      <c r="A48" s="39" t="s">
        <v>320</v>
      </c>
      <c r="B48" s="39" t="s">
        <v>321</v>
      </c>
      <c r="C48" s="39"/>
      <c r="D48" s="39"/>
      <c r="E48" s="39"/>
      <c r="F48" s="42" t="s">
        <v>176</v>
      </c>
      <c r="G48" s="42" t="s">
        <v>47</v>
      </c>
      <c r="H48" s="43">
        <v>4.3899999999999997</v>
      </c>
      <c r="I48" s="39"/>
      <c r="J48" s="39"/>
      <c r="K48" s="42" t="s">
        <v>177</v>
      </c>
      <c r="L48" s="42" t="s">
        <v>51</v>
      </c>
      <c r="M48" s="39"/>
      <c r="N48" s="39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5.75" customHeight="1" x14ac:dyDescent="0.2">
      <c r="A49" s="39" t="s">
        <v>322</v>
      </c>
      <c r="B49" s="39" t="s">
        <v>323</v>
      </c>
      <c r="C49" s="39"/>
      <c r="D49" s="39"/>
      <c r="E49" s="39"/>
      <c r="F49" s="42" t="s">
        <v>176</v>
      </c>
      <c r="G49" s="42" t="s">
        <v>45</v>
      </c>
      <c r="H49" s="43"/>
      <c r="I49" s="39"/>
      <c r="J49" s="39"/>
      <c r="K49" s="42" t="s">
        <v>175</v>
      </c>
      <c r="L49" s="42" t="s">
        <v>51</v>
      </c>
      <c r="M49" s="39"/>
      <c r="N49" s="39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5.75" customHeight="1" x14ac:dyDescent="0.2">
      <c r="A50" s="39" t="s">
        <v>324</v>
      </c>
      <c r="B50" s="39" t="s">
        <v>325</v>
      </c>
      <c r="C50" s="39"/>
      <c r="D50" s="39"/>
      <c r="E50" s="39"/>
      <c r="F50" s="42" t="s">
        <v>170</v>
      </c>
      <c r="G50" s="42" t="s">
        <v>51</v>
      </c>
      <c r="H50" s="43">
        <v>3.22</v>
      </c>
      <c r="I50" s="39"/>
      <c r="J50" s="39"/>
      <c r="K50" s="42" t="s">
        <v>100</v>
      </c>
      <c r="L50" s="42" t="s">
        <v>51</v>
      </c>
      <c r="M50" s="39"/>
      <c r="N50" s="39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5.75" customHeight="1" x14ac:dyDescent="0.2">
      <c r="A51" s="39" t="s">
        <v>326</v>
      </c>
      <c r="B51" s="39" t="s">
        <v>327</v>
      </c>
      <c r="C51" s="39"/>
      <c r="D51" s="39"/>
      <c r="E51" s="39"/>
      <c r="F51" s="42" t="s">
        <v>170</v>
      </c>
      <c r="G51" s="42" t="s">
        <v>50</v>
      </c>
      <c r="H51" s="43">
        <v>3.34</v>
      </c>
      <c r="I51" s="39"/>
      <c r="J51" s="39"/>
      <c r="K51" s="42" t="s">
        <v>174</v>
      </c>
      <c r="L51" s="42" t="s">
        <v>51</v>
      </c>
      <c r="M51" s="39"/>
      <c r="N51" s="39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5.75" customHeight="1" x14ac:dyDescent="0.2">
      <c r="A52" s="39" t="s">
        <v>328</v>
      </c>
      <c r="B52" s="39" t="s">
        <v>329</v>
      </c>
      <c r="C52" s="39"/>
      <c r="D52" s="39"/>
      <c r="E52" s="39"/>
      <c r="F52" s="42" t="s">
        <v>170</v>
      </c>
      <c r="G52" s="42" t="s">
        <v>49</v>
      </c>
      <c r="H52" s="43">
        <v>3.49</v>
      </c>
      <c r="I52" s="39"/>
      <c r="J52" s="39"/>
      <c r="K52" s="42" t="s">
        <v>173</v>
      </c>
      <c r="L52" s="42" t="s">
        <v>50</v>
      </c>
      <c r="M52" s="39"/>
      <c r="N52" s="39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5.75" customHeight="1" x14ac:dyDescent="0.2">
      <c r="A53" s="39" t="s">
        <v>330</v>
      </c>
      <c r="B53" s="39" t="s">
        <v>331</v>
      </c>
      <c r="C53" s="39"/>
      <c r="D53" s="39"/>
      <c r="E53" s="39"/>
      <c r="F53" s="42" t="s">
        <v>170</v>
      </c>
      <c r="G53" s="42" t="s">
        <v>48</v>
      </c>
      <c r="H53" s="43">
        <v>3.41</v>
      </c>
      <c r="I53" s="39"/>
      <c r="J53" s="39"/>
      <c r="K53" s="42" t="s">
        <v>172</v>
      </c>
      <c r="L53" s="42" t="s">
        <v>49</v>
      </c>
      <c r="M53" s="39"/>
      <c r="N53" s="39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5.75" customHeight="1" x14ac:dyDescent="0.2">
      <c r="A54" s="39" t="s">
        <v>66</v>
      </c>
      <c r="B54" s="39" t="s">
        <v>332</v>
      </c>
      <c r="C54" s="39"/>
      <c r="D54" s="39"/>
      <c r="E54" s="39"/>
      <c r="F54" s="42" t="s">
        <v>170</v>
      </c>
      <c r="G54" s="42" t="s">
        <v>47</v>
      </c>
      <c r="H54" s="43">
        <v>3.67</v>
      </c>
      <c r="I54" s="39"/>
      <c r="J54" s="39"/>
      <c r="K54" s="42" t="s">
        <v>171</v>
      </c>
      <c r="L54" s="42" t="s">
        <v>51</v>
      </c>
      <c r="M54" s="39"/>
      <c r="N54" s="39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5.75" customHeight="1" x14ac:dyDescent="0.2">
      <c r="A55" s="39" t="s">
        <v>357</v>
      </c>
      <c r="B55" s="39" t="s">
        <v>358</v>
      </c>
      <c r="C55" s="39"/>
      <c r="D55" s="39"/>
      <c r="E55" s="39"/>
      <c r="F55" s="42" t="s">
        <v>170</v>
      </c>
      <c r="G55" s="42" t="s">
        <v>45</v>
      </c>
      <c r="H55" s="43"/>
      <c r="I55" s="39"/>
      <c r="J55" s="39"/>
      <c r="K55" s="42" t="s">
        <v>169</v>
      </c>
      <c r="L55" s="42" t="s">
        <v>51</v>
      </c>
      <c r="M55" s="39"/>
      <c r="N55" s="39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5.75" customHeight="1" x14ac:dyDescent="0.2">
      <c r="A56" s="39" t="s">
        <v>353</v>
      </c>
      <c r="B56" s="39" t="s">
        <v>363</v>
      </c>
      <c r="C56" s="39"/>
      <c r="D56" s="39"/>
      <c r="E56" s="39"/>
      <c r="F56" s="42" t="s">
        <v>164</v>
      </c>
      <c r="G56" s="42" t="s">
        <v>51</v>
      </c>
      <c r="H56" s="43"/>
      <c r="I56" s="39"/>
      <c r="J56" s="39"/>
      <c r="K56" s="42" t="s">
        <v>168</v>
      </c>
      <c r="L56" s="42" t="s">
        <v>51</v>
      </c>
      <c r="M56" s="39"/>
      <c r="N56" s="39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5.75" customHeight="1" x14ac:dyDescent="0.2">
      <c r="A57" s="39" t="s">
        <v>354</v>
      </c>
      <c r="B57" s="39" t="s">
        <v>364</v>
      </c>
      <c r="C57" s="39"/>
      <c r="D57" s="39"/>
      <c r="E57" s="39"/>
      <c r="F57" s="42" t="s">
        <v>164</v>
      </c>
      <c r="G57" s="42" t="s">
        <v>50</v>
      </c>
      <c r="H57" s="43"/>
      <c r="I57" s="39"/>
      <c r="J57" s="39"/>
      <c r="K57" s="42" t="s">
        <v>33</v>
      </c>
      <c r="L57" s="42" t="s">
        <v>51</v>
      </c>
      <c r="M57" s="39"/>
      <c r="N57" s="39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5.75" customHeight="1" x14ac:dyDescent="0.2">
      <c r="A58" s="39"/>
      <c r="B58" s="39"/>
      <c r="C58" s="39"/>
      <c r="D58" s="39"/>
      <c r="E58" s="39"/>
      <c r="F58" s="42" t="s">
        <v>164</v>
      </c>
      <c r="G58" s="42" t="s">
        <v>49</v>
      </c>
      <c r="H58" s="43"/>
      <c r="I58" s="39"/>
      <c r="J58" s="39"/>
      <c r="K58" s="42" t="s">
        <v>167</v>
      </c>
      <c r="L58" s="42" t="s">
        <v>48</v>
      </c>
      <c r="M58" s="39"/>
      <c r="N58" s="39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5.75" customHeight="1" x14ac:dyDescent="0.2">
      <c r="A59" s="39"/>
      <c r="B59" s="39"/>
      <c r="C59" s="39"/>
      <c r="D59" s="39"/>
      <c r="E59" s="39"/>
      <c r="F59" s="42" t="s">
        <v>164</v>
      </c>
      <c r="G59" s="42" t="s">
        <v>48</v>
      </c>
      <c r="H59" s="43"/>
      <c r="I59" s="39"/>
      <c r="J59" s="39"/>
      <c r="K59" s="42" t="s">
        <v>166</v>
      </c>
      <c r="L59" s="42" t="s">
        <v>47</v>
      </c>
      <c r="M59" s="39"/>
      <c r="N59" s="39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5.75" customHeight="1" x14ac:dyDescent="0.2">
      <c r="A60" s="39"/>
      <c r="B60" s="39"/>
      <c r="C60" s="39"/>
      <c r="D60" s="39"/>
      <c r="E60" s="39"/>
      <c r="F60" s="42" t="s">
        <v>164</v>
      </c>
      <c r="G60" s="42" t="s">
        <v>47</v>
      </c>
      <c r="H60" s="43"/>
      <c r="I60" s="39"/>
      <c r="J60" s="39"/>
      <c r="K60" s="42" t="s">
        <v>165</v>
      </c>
      <c r="L60" s="42" t="s">
        <v>51</v>
      </c>
      <c r="M60" s="39"/>
      <c r="N60" s="39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5.75" customHeight="1" x14ac:dyDescent="0.2">
      <c r="A61" s="39"/>
      <c r="B61" s="39"/>
      <c r="C61" s="39"/>
      <c r="D61" s="39"/>
      <c r="E61" s="39"/>
      <c r="F61" s="42" t="s">
        <v>164</v>
      </c>
      <c r="G61" s="42" t="s">
        <v>45</v>
      </c>
      <c r="H61" s="43"/>
      <c r="I61" s="39"/>
      <c r="J61" s="39"/>
      <c r="K61" s="42" t="s">
        <v>163</v>
      </c>
      <c r="L61" s="42" t="s">
        <v>51</v>
      </c>
      <c r="M61" s="39"/>
      <c r="N61" s="39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5.75" customHeight="1" x14ac:dyDescent="0.2">
      <c r="A62" s="39"/>
      <c r="B62" s="39"/>
      <c r="C62" s="39"/>
      <c r="D62" s="39"/>
      <c r="E62" s="39"/>
      <c r="F62" s="42" t="s">
        <v>158</v>
      </c>
      <c r="G62" s="42" t="s">
        <v>51</v>
      </c>
      <c r="H62" s="43"/>
      <c r="I62" s="39"/>
      <c r="J62" s="39"/>
      <c r="K62" s="42" t="s">
        <v>162</v>
      </c>
      <c r="L62" s="42" t="s">
        <v>51</v>
      </c>
      <c r="M62" s="39"/>
      <c r="N62" s="39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5.75" customHeight="1" x14ac:dyDescent="0.2">
      <c r="A63" s="39"/>
      <c r="B63" s="39"/>
      <c r="C63" s="39"/>
      <c r="D63" s="39"/>
      <c r="E63" s="39"/>
      <c r="F63" s="42" t="s">
        <v>158</v>
      </c>
      <c r="G63" s="42" t="s">
        <v>50</v>
      </c>
      <c r="H63" s="43"/>
      <c r="I63" s="39"/>
      <c r="J63" s="39"/>
      <c r="K63" s="42" t="s">
        <v>34</v>
      </c>
      <c r="L63" s="42" t="s">
        <v>51</v>
      </c>
      <c r="M63" s="39"/>
      <c r="N63" s="39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5.75" customHeight="1" x14ac:dyDescent="0.2">
      <c r="A64" s="39"/>
      <c r="B64" s="39"/>
      <c r="C64" s="39"/>
      <c r="D64" s="39"/>
      <c r="E64" s="39"/>
      <c r="F64" s="42" t="s">
        <v>158</v>
      </c>
      <c r="G64" s="42" t="s">
        <v>49</v>
      </c>
      <c r="H64" s="43"/>
      <c r="I64" s="39"/>
      <c r="J64" s="39"/>
      <c r="K64" s="42" t="s">
        <v>161</v>
      </c>
      <c r="L64" s="42" t="s">
        <v>51</v>
      </c>
      <c r="M64" s="39"/>
      <c r="N64" s="39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5.75" customHeight="1" x14ac:dyDescent="0.2">
      <c r="A65" s="39"/>
      <c r="B65" s="39"/>
      <c r="C65" s="39"/>
      <c r="D65" s="39"/>
      <c r="E65" s="39"/>
      <c r="F65" s="42" t="s">
        <v>158</v>
      </c>
      <c r="G65" s="42" t="s">
        <v>48</v>
      </c>
      <c r="H65" s="43"/>
      <c r="I65" s="39"/>
      <c r="J65" s="39"/>
      <c r="K65" s="42" t="s">
        <v>160</v>
      </c>
      <c r="L65" s="42" t="s">
        <v>48</v>
      </c>
      <c r="M65" s="39"/>
      <c r="N65" s="39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5.75" customHeight="1" x14ac:dyDescent="0.2">
      <c r="A66" s="39"/>
      <c r="B66" s="39"/>
      <c r="C66" s="39"/>
      <c r="D66" s="39"/>
      <c r="E66" s="39"/>
      <c r="F66" s="42" t="s">
        <v>158</v>
      </c>
      <c r="G66" s="42" t="s">
        <v>47</v>
      </c>
      <c r="H66" s="43"/>
      <c r="I66" s="39"/>
      <c r="J66" s="39"/>
      <c r="K66" s="42" t="s">
        <v>159</v>
      </c>
      <c r="L66" s="42" t="s">
        <v>51</v>
      </c>
      <c r="M66" s="39"/>
      <c r="N66" s="39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5.75" customHeight="1" x14ac:dyDescent="0.2">
      <c r="A67" s="39"/>
      <c r="B67" s="39"/>
      <c r="C67" s="39"/>
      <c r="D67" s="39"/>
      <c r="E67" s="39"/>
      <c r="F67" s="42" t="s">
        <v>158</v>
      </c>
      <c r="G67" s="42" t="s">
        <v>45</v>
      </c>
      <c r="H67" s="43"/>
      <c r="I67" s="39"/>
      <c r="J67" s="39"/>
      <c r="K67" s="42" t="s">
        <v>157</v>
      </c>
      <c r="L67" s="42" t="s">
        <v>51</v>
      </c>
      <c r="M67" s="39"/>
      <c r="N67" s="39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5.75" customHeight="1" x14ac:dyDescent="0.2">
      <c r="A68" s="39"/>
      <c r="B68" s="39"/>
      <c r="C68" s="39"/>
      <c r="D68" s="39"/>
      <c r="E68" s="39"/>
      <c r="F68" s="42" t="s">
        <v>152</v>
      </c>
      <c r="G68" s="42" t="s">
        <v>51</v>
      </c>
      <c r="H68" s="43">
        <v>5.26</v>
      </c>
      <c r="I68" s="39"/>
      <c r="J68" s="39"/>
      <c r="K68" s="42" t="s">
        <v>156</v>
      </c>
      <c r="L68" s="42" t="s">
        <v>51</v>
      </c>
      <c r="M68" s="39"/>
      <c r="N68" s="39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5.75" customHeight="1" x14ac:dyDescent="0.2">
      <c r="A69" s="39"/>
      <c r="B69" s="39"/>
      <c r="C69" s="39"/>
      <c r="D69" s="39"/>
      <c r="E69" s="39"/>
      <c r="F69" s="42" t="s">
        <v>152</v>
      </c>
      <c r="G69" s="42" t="s">
        <v>50</v>
      </c>
      <c r="H69" s="43">
        <v>5.47</v>
      </c>
      <c r="I69" s="39"/>
      <c r="J69" s="39"/>
      <c r="K69" s="42" t="s">
        <v>155</v>
      </c>
      <c r="L69" s="42" t="s">
        <v>48</v>
      </c>
      <c r="M69" s="39"/>
      <c r="N69" s="39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5.75" customHeight="1" x14ac:dyDescent="0.2">
      <c r="A70" s="39"/>
      <c r="B70" s="39"/>
      <c r="C70" s="39"/>
      <c r="D70" s="39"/>
      <c r="E70" s="39"/>
      <c r="F70" s="42" t="s">
        <v>152</v>
      </c>
      <c r="G70" s="42" t="s">
        <v>49</v>
      </c>
      <c r="H70" s="43">
        <v>5.5</v>
      </c>
      <c r="I70" s="39"/>
      <c r="J70" s="39"/>
      <c r="K70" s="42" t="s">
        <v>154</v>
      </c>
      <c r="L70" s="42" t="s">
        <v>50</v>
      </c>
      <c r="M70" s="39"/>
      <c r="N70" s="39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5.75" customHeight="1" x14ac:dyDescent="0.2">
      <c r="A71" s="39"/>
      <c r="B71" s="39"/>
      <c r="C71" s="39"/>
      <c r="D71" s="39"/>
      <c r="E71" s="39"/>
      <c r="F71" s="42" t="s">
        <v>152</v>
      </c>
      <c r="G71" s="42" t="s">
        <v>48</v>
      </c>
      <c r="H71" s="43">
        <v>5.66</v>
      </c>
      <c r="I71" s="39"/>
      <c r="J71" s="39"/>
      <c r="K71" s="42" t="s">
        <v>80</v>
      </c>
      <c r="L71" s="42" t="s">
        <v>51</v>
      </c>
      <c r="M71" s="39"/>
      <c r="N71" s="39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5.75" customHeight="1" x14ac:dyDescent="0.2">
      <c r="A72" s="39"/>
      <c r="B72" s="39"/>
      <c r="C72" s="39"/>
      <c r="D72" s="39"/>
      <c r="E72" s="39"/>
      <c r="F72" s="42" t="s">
        <v>152</v>
      </c>
      <c r="G72" s="42" t="s">
        <v>47</v>
      </c>
      <c r="H72" s="43">
        <v>6.17</v>
      </c>
      <c r="I72" s="39"/>
      <c r="J72" s="39"/>
      <c r="K72" s="42" t="s">
        <v>153</v>
      </c>
      <c r="L72" s="42" t="s">
        <v>51</v>
      </c>
      <c r="M72" s="39"/>
      <c r="N72" s="39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5.75" customHeight="1" x14ac:dyDescent="0.2">
      <c r="A73" s="39"/>
      <c r="B73" s="39"/>
      <c r="C73" s="39"/>
      <c r="D73" s="39"/>
      <c r="E73" s="39"/>
      <c r="F73" s="42" t="s">
        <v>152</v>
      </c>
      <c r="G73" s="42" t="s">
        <v>45</v>
      </c>
      <c r="H73" s="43"/>
      <c r="I73" s="39"/>
      <c r="J73" s="39"/>
      <c r="K73" s="42" t="s">
        <v>151</v>
      </c>
      <c r="L73" s="42" t="s">
        <v>51</v>
      </c>
      <c r="M73" s="39"/>
      <c r="N73" s="39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5.75" customHeight="1" x14ac:dyDescent="0.2">
      <c r="A74" s="39"/>
      <c r="B74" s="39"/>
      <c r="C74" s="39"/>
      <c r="D74" s="39"/>
      <c r="E74" s="39"/>
      <c r="F74" s="42" t="s">
        <v>29</v>
      </c>
      <c r="G74" s="42" t="s">
        <v>51</v>
      </c>
      <c r="H74" s="43">
        <v>4.49</v>
      </c>
      <c r="I74" s="39"/>
      <c r="J74" s="39"/>
      <c r="K74" s="42" t="s">
        <v>150</v>
      </c>
      <c r="L74" s="42" t="s">
        <v>51</v>
      </c>
      <c r="M74" s="39"/>
      <c r="N74" s="39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5.75" customHeight="1" x14ac:dyDescent="0.2">
      <c r="A75" s="39"/>
      <c r="B75" s="39"/>
      <c r="C75" s="39"/>
      <c r="D75" s="39"/>
      <c r="E75" s="39"/>
      <c r="F75" s="42" t="s">
        <v>29</v>
      </c>
      <c r="G75" s="42" t="s">
        <v>50</v>
      </c>
      <c r="H75" s="43"/>
      <c r="I75" s="39"/>
      <c r="J75" s="39"/>
      <c r="K75" s="42" t="s">
        <v>149</v>
      </c>
      <c r="L75" s="42" t="s">
        <v>51</v>
      </c>
      <c r="M75" s="39"/>
      <c r="N75" s="39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5.75" customHeight="1" x14ac:dyDescent="0.2">
      <c r="A76" s="39"/>
      <c r="B76" s="39"/>
      <c r="C76" s="39"/>
      <c r="D76" s="39"/>
      <c r="E76" s="39"/>
      <c r="F76" s="42" t="s">
        <v>29</v>
      </c>
      <c r="G76" s="42" t="s">
        <v>49</v>
      </c>
      <c r="H76" s="43"/>
      <c r="I76" s="39"/>
      <c r="J76" s="39"/>
      <c r="K76" s="42" t="s">
        <v>148</v>
      </c>
      <c r="L76" s="42" t="s">
        <v>51</v>
      </c>
      <c r="M76" s="39"/>
      <c r="N76" s="39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5.75" customHeight="1" x14ac:dyDescent="0.2">
      <c r="A77" s="39"/>
      <c r="B77" s="39"/>
      <c r="C77" s="39"/>
      <c r="D77" s="39"/>
      <c r="E77" s="39"/>
      <c r="F77" s="42" t="s">
        <v>29</v>
      </c>
      <c r="G77" s="42" t="s">
        <v>48</v>
      </c>
      <c r="H77" s="43"/>
      <c r="I77" s="39"/>
      <c r="J77" s="39"/>
      <c r="K77" s="42" t="s">
        <v>147</v>
      </c>
      <c r="L77" s="42" t="s">
        <v>47</v>
      </c>
      <c r="M77" s="39"/>
      <c r="N77" s="39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5.75" customHeight="1" x14ac:dyDescent="0.2">
      <c r="A78" s="39"/>
      <c r="B78" s="39"/>
      <c r="C78" s="39"/>
      <c r="D78" s="39"/>
      <c r="E78" s="39"/>
      <c r="F78" s="42" t="s">
        <v>29</v>
      </c>
      <c r="G78" s="42" t="s">
        <v>47</v>
      </c>
      <c r="H78" s="43">
        <v>5.22</v>
      </c>
      <c r="I78" s="39"/>
      <c r="J78" s="39"/>
      <c r="K78" s="42" t="s">
        <v>146</v>
      </c>
      <c r="L78" s="42" t="s">
        <v>47</v>
      </c>
      <c r="M78" s="39"/>
      <c r="N78" s="39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5.75" customHeight="1" x14ac:dyDescent="0.2">
      <c r="A79" s="39"/>
      <c r="B79" s="39"/>
      <c r="C79" s="39"/>
      <c r="D79" s="39"/>
      <c r="E79" s="39"/>
      <c r="F79" s="42" t="s">
        <v>29</v>
      </c>
      <c r="G79" s="42" t="s">
        <v>45</v>
      </c>
      <c r="H79" s="43"/>
      <c r="I79" s="39"/>
      <c r="J79" s="39"/>
      <c r="K79" s="42" t="s">
        <v>145</v>
      </c>
      <c r="L79" s="42" t="s">
        <v>47</v>
      </c>
      <c r="M79" s="39"/>
      <c r="N79" s="39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5.75" customHeight="1" x14ac:dyDescent="0.2">
      <c r="A80" s="39"/>
      <c r="B80" s="39"/>
      <c r="C80" s="39"/>
      <c r="D80" s="39"/>
      <c r="E80" s="39"/>
      <c r="F80" s="42" t="s">
        <v>41</v>
      </c>
      <c r="G80" s="42" t="s">
        <v>51</v>
      </c>
      <c r="H80" s="43">
        <v>5.67</v>
      </c>
      <c r="I80" s="39"/>
      <c r="J80" s="39"/>
      <c r="K80" s="42" t="s">
        <v>144</v>
      </c>
      <c r="L80" s="42" t="s">
        <v>45</v>
      </c>
      <c r="M80" s="39"/>
      <c r="N80" s="39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5.75" customHeight="1" x14ac:dyDescent="0.2">
      <c r="A81" s="39"/>
      <c r="B81" s="39"/>
      <c r="C81" s="39"/>
      <c r="D81" s="39"/>
      <c r="E81" s="39"/>
      <c r="F81" s="42" t="s">
        <v>41</v>
      </c>
      <c r="G81" s="42" t="s">
        <v>50</v>
      </c>
      <c r="H81" s="43"/>
      <c r="I81" s="39"/>
      <c r="J81" s="39"/>
      <c r="K81" s="42" t="s">
        <v>143</v>
      </c>
      <c r="L81" s="42" t="s">
        <v>47</v>
      </c>
      <c r="M81" s="39"/>
      <c r="N81" s="39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5.75" customHeight="1" x14ac:dyDescent="0.2">
      <c r="A82" s="39"/>
      <c r="B82" s="39"/>
      <c r="C82" s="39"/>
      <c r="D82" s="39"/>
      <c r="E82" s="39"/>
      <c r="F82" s="42" t="s">
        <v>41</v>
      </c>
      <c r="G82" s="42" t="s">
        <v>49</v>
      </c>
      <c r="H82" s="43"/>
      <c r="I82" s="39"/>
      <c r="J82" s="39"/>
      <c r="K82" s="42" t="s">
        <v>142</v>
      </c>
      <c r="L82" s="42" t="s">
        <v>47</v>
      </c>
      <c r="M82" s="39"/>
      <c r="N82" s="39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5.75" customHeight="1" x14ac:dyDescent="0.2">
      <c r="A83" s="39"/>
      <c r="B83" s="39"/>
      <c r="C83" s="39"/>
      <c r="D83" s="39"/>
      <c r="E83" s="39"/>
      <c r="F83" s="42" t="s">
        <v>41</v>
      </c>
      <c r="G83" s="42" t="s">
        <v>48</v>
      </c>
      <c r="H83" s="43"/>
      <c r="I83" s="39"/>
      <c r="J83" s="39"/>
      <c r="K83" s="42" t="s">
        <v>141</v>
      </c>
      <c r="L83" s="42" t="s">
        <v>45</v>
      </c>
      <c r="M83" s="39"/>
      <c r="N83" s="39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5.75" customHeight="1" x14ac:dyDescent="0.2">
      <c r="A84" s="39"/>
      <c r="B84" s="39"/>
      <c r="C84" s="39"/>
      <c r="D84" s="39"/>
      <c r="E84" s="39"/>
      <c r="F84" s="42" t="s">
        <v>41</v>
      </c>
      <c r="G84" s="42" t="s">
        <v>47</v>
      </c>
      <c r="H84" s="43">
        <v>6.52</v>
      </c>
      <c r="I84" s="39"/>
      <c r="J84" s="39"/>
      <c r="K84" s="42" t="s">
        <v>140</v>
      </c>
      <c r="L84" s="42" t="s">
        <v>47</v>
      </c>
      <c r="M84" s="39"/>
      <c r="N84" s="39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5.75" customHeight="1" x14ac:dyDescent="0.2">
      <c r="A85" s="39"/>
      <c r="B85" s="39"/>
      <c r="C85" s="39"/>
      <c r="D85" s="39"/>
      <c r="E85" s="39"/>
      <c r="F85" s="42" t="s">
        <v>41</v>
      </c>
      <c r="G85" s="42" t="s">
        <v>45</v>
      </c>
      <c r="H85" s="43"/>
      <c r="I85" s="39"/>
      <c r="J85" s="39"/>
      <c r="K85" s="42" t="s">
        <v>139</v>
      </c>
      <c r="L85" s="42" t="s">
        <v>51</v>
      </c>
      <c r="M85" s="39"/>
      <c r="N85" s="39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5.75" customHeight="1" x14ac:dyDescent="0.2">
      <c r="A86" s="39"/>
      <c r="B86" s="39"/>
      <c r="C86" s="39"/>
      <c r="D86" s="39"/>
      <c r="E86" s="39"/>
      <c r="F86" s="42" t="s">
        <v>38</v>
      </c>
      <c r="G86" s="42" t="s">
        <v>51</v>
      </c>
      <c r="H86" s="43">
        <v>5.33</v>
      </c>
      <c r="I86" s="39"/>
      <c r="J86" s="39"/>
      <c r="K86" s="42" t="s">
        <v>138</v>
      </c>
      <c r="L86" s="42" t="s">
        <v>45</v>
      </c>
      <c r="M86" s="39"/>
      <c r="N86" s="39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5.75" customHeight="1" x14ac:dyDescent="0.2">
      <c r="A87" s="39"/>
      <c r="B87" s="39"/>
      <c r="C87" s="39"/>
      <c r="D87" s="39"/>
      <c r="E87" s="39"/>
      <c r="F87" s="42" t="s">
        <v>38</v>
      </c>
      <c r="G87" s="42" t="s">
        <v>50</v>
      </c>
      <c r="H87" s="43"/>
      <c r="I87" s="39"/>
      <c r="J87" s="39"/>
      <c r="K87" s="46" t="s">
        <v>137</v>
      </c>
      <c r="L87" s="47" t="s">
        <v>47</v>
      </c>
      <c r="M87" s="39" t="s">
        <v>136</v>
      </c>
      <c r="N87" s="39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5.75" customHeight="1" x14ac:dyDescent="0.2">
      <c r="A88" s="39"/>
      <c r="B88" s="39"/>
      <c r="C88" s="39"/>
      <c r="D88" s="39"/>
      <c r="E88" s="39"/>
      <c r="F88" s="42" t="s">
        <v>38</v>
      </c>
      <c r="G88" s="42" t="s">
        <v>49</v>
      </c>
      <c r="H88" s="43"/>
      <c r="I88" s="39"/>
      <c r="J88" s="39"/>
      <c r="K88" s="46" t="s">
        <v>135</v>
      </c>
      <c r="L88" s="47" t="s">
        <v>47</v>
      </c>
      <c r="M88" s="39" t="s">
        <v>134</v>
      </c>
      <c r="N88" s="39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5.75" customHeight="1" x14ac:dyDescent="0.2">
      <c r="A89" s="39"/>
      <c r="B89" s="39"/>
      <c r="C89" s="39"/>
      <c r="D89" s="39"/>
      <c r="E89" s="39"/>
      <c r="F89" s="42" t="s">
        <v>38</v>
      </c>
      <c r="G89" s="42" t="s">
        <v>48</v>
      </c>
      <c r="H89" s="43"/>
      <c r="I89" s="39"/>
      <c r="J89" s="39"/>
      <c r="K89" s="46" t="s">
        <v>133</v>
      </c>
      <c r="L89" s="47" t="s">
        <v>47</v>
      </c>
      <c r="M89" s="39" t="s">
        <v>132</v>
      </c>
      <c r="N89" s="39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5.75" customHeight="1" x14ac:dyDescent="0.2">
      <c r="A90" s="39"/>
      <c r="B90" s="39"/>
      <c r="C90" s="39"/>
      <c r="D90" s="39"/>
      <c r="E90" s="39"/>
      <c r="F90" s="42" t="s">
        <v>38</v>
      </c>
      <c r="G90" s="42" t="s">
        <v>47</v>
      </c>
      <c r="H90" s="43">
        <v>6.35</v>
      </c>
      <c r="I90" s="39"/>
      <c r="J90" s="39"/>
      <c r="K90" s="46" t="s">
        <v>131</v>
      </c>
      <c r="L90" s="47" t="s">
        <v>47</v>
      </c>
      <c r="M90" s="39" t="s">
        <v>130</v>
      </c>
      <c r="N90" s="39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5.75" customHeight="1" x14ac:dyDescent="0.2">
      <c r="A91" s="39"/>
      <c r="B91" s="39"/>
      <c r="C91" s="39"/>
      <c r="D91" s="39"/>
      <c r="E91" s="39"/>
      <c r="F91" s="42" t="s">
        <v>38</v>
      </c>
      <c r="G91" s="42" t="s">
        <v>45</v>
      </c>
      <c r="H91" s="43"/>
      <c r="I91" s="39"/>
      <c r="J91" s="39"/>
      <c r="K91" s="46" t="s">
        <v>129</v>
      </c>
      <c r="L91" s="47" t="s">
        <v>47</v>
      </c>
      <c r="M91" s="39" t="s">
        <v>128</v>
      </c>
      <c r="N91" s="39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5.75" customHeight="1" x14ac:dyDescent="0.2">
      <c r="A92" s="39"/>
      <c r="B92" s="39"/>
      <c r="C92" s="39"/>
      <c r="D92" s="39"/>
      <c r="E92" s="39"/>
      <c r="F92" s="42" t="s">
        <v>117</v>
      </c>
      <c r="G92" s="42" t="s">
        <v>51</v>
      </c>
      <c r="H92" s="43">
        <v>5.21</v>
      </c>
      <c r="I92" s="39"/>
      <c r="J92" s="39"/>
      <c r="K92" s="46" t="s">
        <v>127</v>
      </c>
      <c r="L92" s="47" t="s">
        <v>47</v>
      </c>
      <c r="M92" s="39" t="s">
        <v>126</v>
      </c>
      <c r="N92" s="39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5.75" customHeight="1" x14ac:dyDescent="0.2">
      <c r="A93" s="39"/>
      <c r="B93" s="39"/>
      <c r="C93" s="39"/>
      <c r="D93" s="39"/>
      <c r="E93" s="39"/>
      <c r="F93" s="42" t="s">
        <v>117</v>
      </c>
      <c r="G93" s="42" t="s">
        <v>50</v>
      </c>
      <c r="H93" s="43">
        <v>5.05</v>
      </c>
      <c r="I93" s="39"/>
      <c r="J93" s="39"/>
      <c r="K93" s="46" t="s">
        <v>125</v>
      </c>
      <c r="L93" s="47" t="s">
        <v>48</v>
      </c>
      <c r="M93" s="39" t="s">
        <v>124</v>
      </c>
      <c r="N93" s="39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5.75" customHeight="1" x14ac:dyDescent="0.2">
      <c r="A94" s="39"/>
      <c r="B94" s="39"/>
      <c r="C94" s="39"/>
      <c r="D94" s="39"/>
      <c r="E94" s="39"/>
      <c r="F94" s="42" t="s">
        <v>117</v>
      </c>
      <c r="G94" s="42" t="s">
        <v>49</v>
      </c>
      <c r="H94" s="43">
        <v>5.08</v>
      </c>
      <c r="I94" s="39"/>
      <c r="J94" s="39"/>
      <c r="K94" s="46" t="s">
        <v>123</v>
      </c>
      <c r="L94" s="47" t="s">
        <v>45</v>
      </c>
      <c r="M94" s="39" t="s">
        <v>122</v>
      </c>
      <c r="N94" s="39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5.75" customHeight="1" x14ac:dyDescent="0.2">
      <c r="A95" s="39"/>
      <c r="B95" s="39"/>
      <c r="C95" s="39"/>
      <c r="D95" s="39"/>
      <c r="E95" s="39"/>
      <c r="F95" s="42" t="s">
        <v>117</v>
      </c>
      <c r="G95" s="42" t="s">
        <v>48</v>
      </c>
      <c r="H95" s="43">
        <v>5.34</v>
      </c>
      <c r="I95" s="39"/>
      <c r="J95" s="39"/>
      <c r="K95" s="46" t="s">
        <v>121</v>
      </c>
      <c r="L95" s="47" t="s">
        <v>47</v>
      </c>
      <c r="M95" s="39" t="s">
        <v>120</v>
      </c>
      <c r="N95" s="39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5.75" customHeight="1" x14ac:dyDescent="0.2">
      <c r="A96" s="39"/>
      <c r="B96" s="39"/>
      <c r="C96" s="39"/>
      <c r="D96" s="39"/>
      <c r="E96" s="39"/>
      <c r="F96" s="42" t="s">
        <v>117</v>
      </c>
      <c r="G96" s="42" t="s">
        <v>47</v>
      </c>
      <c r="H96" s="43">
        <v>5.76</v>
      </c>
      <c r="I96" s="39"/>
      <c r="J96" s="39"/>
      <c r="K96" s="46" t="s">
        <v>119</v>
      </c>
      <c r="L96" s="47" t="s">
        <v>45</v>
      </c>
      <c r="M96" s="39" t="s">
        <v>118</v>
      </c>
      <c r="N96" s="39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5.75" customHeight="1" x14ac:dyDescent="0.2">
      <c r="A97" s="39"/>
      <c r="B97" s="39"/>
      <c r="C97" s="39"/>
      <c r="D97" s="39"/>
      <c r="E97" s="39"/>
      <c r="F97" s="42" t="s">
        <v>117</v>
      </c>
      <c r="G97" s="42" t="s">
        <v>45</v>
      </c>
      <c r="H97" s="43"/>
      <c r="I97" s="39"/>
      <c r="J97" s="39"/>
      <c r="K97" s="46" t="s">
        <v>116</v>
      </c>
      <c r="L97" s="47" t="s">
        <v>45</v>
      </c>
      <c r="M97" s="39" t="s">
        <v>115</v>
      </c>
      <c r="N97" s="39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5.75" customHeight="1" x14ac:dyDescent="0.2">
      <c r="A98" s="39"/>
      <c r="B98" s="39"/>
      <c r="C98" s="39"/>
      <c r="D98" s="39"/>
      <c r="E98" s="39"/>
      <c r="F98" s="42" t="s">
        <v>109</v>
      </c>
      <c r="G98" s="42" t="s">
        <v>51</v>
      </c>
      <c r="H98" s="43">
        <v>5.48</v>
      </c>
      <c r="I98" s="39"/>
      <c r="J98" s="39"/>
      <c r="K98" s="39" t="s">
        <v>114</v>
      </c>
      <c r="L98" s="42" t="s">
        <v>51</v>
      </c>
      <c r="M98" s="39"/>
      <c r="N98" s="39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5.75" customHeight="1" x14ac:dyDescent="0.2">
      <c r="A99" s="39"/>
      <c r="B99" s="39"/>
      <c r="C99" s="39"/>
      <c r="D99" s="39"/>
      <c r="E99" s="39"/>
      <c r="F99" s="42" t="s">
        <v>109</v>
      </c>
      <c r="G99" s="42" t="s">
        <v>50</v>
      </c>
      <c r="H99" s="43">
        <v>5.55</v>
      </c>
      <c r="I99" s="39"/>
      <c r="J99" s="39"/>
      <c r="K99" s="39" t="s">
        <v>113</v>
      </c>
      <c r="L99" s="42" t="s">
        <v>51</v>
      </c>
      <c r="M99" s="39"/>
      <c r="N99" s="39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5.75" customHeight="1" x14ac:dyDescent="0.2">
      <c r="A100" s="39"/>
      <c r="B100" s="39"/>
      <c r="C100" s="39"/>
      <c r="D100" s="39"/>
      <c r="E100" s="39"/>
      <c r="F100" s="42" t="s">
        <v>109</v>
      </c>
      <c r="G100" s="42" t="s">
        <v>49</v>
      </c>
      <c r="H100" s="43">
        <v>5.55</v>
      </c>
      <c r="I100" s="39"/>
      <c r="J100" s="39"/>
      <c r="K100" s="39" t="s">
        <v>112</v>
      </c>
      <c r="L100" s="42" t="s">
        <v>51</v>
      </c>
      <c r="M100" s="39"/>
      <c r="N100" s="39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5.75" customHeight="1" x14ac:dyDescent="0.2">
      <c r="A101" s="39"/>
      <c r="B101" s="39"/>
      <c r="C101" s="39"/>
      <c r="D101" s="39"/>
      <c r="E101" s="39"/>
      <c r="F101" s="42" t="s">
        <v>109</v>
      </c>
      <c r="G101" s="42" t="s">
        <v>48</v>
      </c>
      <c r="H101" s="43"/>
      <c r="I101" s="39"/>
      <c r="J101" s="39"/>
      <c r="K101" s="39" t="s">
        <v>111</v>
      </c>
      <c r="L101" s="42" t="s">
        <v>51</v>
      </c>
      <c r="M101" s="39"/>
      <c r="N101" s="39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5.75" customHeight="1" x14ac:dyDescent="0.2">
      <c r="A102" s="39"/>
      <c r="B102" s="39"/>
      <c r="C102" s="39"/>
      <c r="D102" s="39"/>
      <c r="E102" s="39"/>
      <c r="F102" s="42" t="s">
        <v>109</v>
      </c>
      <c r="G102" s="42" t="s">
        <v>47</v>
      </c>
      <c r="H102" s="43"/>
      <c r="I102" s="39"/>
      <c r="J102" s="39"/>
      <c r="K102" s="39" t="s">
        <v>110</v>
      </c>
      <c r="L102" s="42" t="s">
        <v>51</v>
      </c>
      <c r="M102" s="39"/>
      <c r="N102" s="39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5.75" customHeight="1" x14ac:dyDescent="0.2">
      <c r="A103" s="39"/>
      <c r="B103" s="39"/>
      <c r="C103" s="39"/>
      <c r="D103" s="39"/>
      <c r="E103" s="39"/>
      <c r="F103" s="42" t="s">
        <v>109</v>
      </c>
      <c r="G103" s="42" t="s">
        <v>45</v>
      </c>
      <c r="H103" s="43"/>
      <c r="I103" s="39"/>
      <c r="J103" s="39"/>
      <c r="K103" s="39" t="s">
        <v>108</v>
      </c>
      <c r="L103" s="42" t="s">
        <v>51</v>
      </c>
      <c r="M103" s="39"/>
      <c r="N103" s="39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5.75" customHeight="1" x14ac:dyDescent="0.2">
      <c r="A104" s="39"/>
      <c r="B104" s="39"/>
      <c r="C104" s="39"/>
      <c r="D104" s="39"/>
      <c r="E104" s="39"/>
      <c r="F104" s="42" t="s">
        <v>102</v>
      </c>
      <c r="G104" s="42" t="s">
        <v>51</v>
      </c>
      <c r="H104" s="43">
        <v>4.66</v>
      </c>
      <c r="I104" s="39"/>
      <c r="J104" s="39"/>
      <c r="K104" s="39" t="s">
        <v>107</v>
      </c>
      <c r="L104" s="42" t="s">
        <v>51</v>
      </c>
      <c r="M104" s="39"/>
      <c r="N104" s="39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5.75" customHeight="1" x14ac:dyDescent="0.2">
      <c r="A105" s="39"/>
      <c r="B105" s="39"/>
      <c r="C105" s="39"/>
      <c r="D105" s="39"/>
      <c r="E105" s="39"/>
      <c r="F105" s="42" t="s">
        <v>102</v>
      </c>
      <c r="G105" s="42" t="s">
        <v>50</v>
      </c>
      <c r="H105" s="43">
        <v>4.71</v>
      </c>
      <c r="I105" s="39"/>
      <c r="J105" s="39"/>
      <c r="K105" s="39" t="s">
        <v>106</v>
      </c>
      <c r="L105" s="39" t="s">
        <v>51</v>
      </c>
      <c r="M105" s="40"/>
      <c r="N105" s="39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5.75" customHeight="1" x14ac:dyDescent="0.2">
      <c r="A106" s="39"/>
      <c r="B106" s="39"/>
      <c r="C106" s="39"/>
      <c r="D106" s="39"/>
      <c r="E106" s="39"/>
      <c r="F106" s="42" t="s">
        <v>102</v>
      </c>
      <c r="G106" s="42" t="s">
        <v>49</v>
      </c>
      <c r="H106" s="43">
        <v>4.71</v>
      </c>
      <c r="I106" s="39"/>
      <c r="J106" s="39"/>
      <c r="K106" s="39" t="s">
        <v>105</v>
      </c>
      <c r="L106" s="39" t="s">
        <v>51</v>
      </c>
      <c r="M106" s="40"/>
      <c r="N106" s="39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5.75" customHeight="1" x14ac:dyDescent="0.2">
      <c r="A107" s="39"/>
      <c r="B107" s="39"/>
      <c r="C107" s="39"/>
      <c r="D107" s="39"/>
      <c r="E107" s="39"/>
      <c r="F107" s="42" t="s">
        <v>102</v>
      </c>
      <c r="G107" s="42" t="s">
        <v>48</v>
      </c>
      <c r="H107" s="43"/>
      <c r="I107" s="39"/>
      <c r="J107" s="39"/>
      <c r="K107" s="39" t="s">
        <v>104</v>
      </c>
      <c r="L107" s="39" t="s">
        <v>51</v>
      </c>
      <c r="M107" s="40"/>
      <c r="N107" s="39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5.75" customHeight="1" x14ac:dyDescent="0.2">
      <c r="A108" s="39"/>
      <c r="B108" s="39"/>
      <c r="C108" s="39"/>
      <c r="D108" s="39"/>
      <c r="E108" s="39"/>
      <c r="F108" s="42" t="s">
        <v>102</v>
      </c>
      <c r="G108" s="42" t="s">
        <v>47</v>
      </c>
      <c r="H108" s="43"/>
      <c r="I108" s="39"/>
      <c r="J108" s="39"/>
      <c r="K108" s="39" t="s">
        <v>103</v>
      </c>
      <c r="L108" s="39" t="s">
        <v>51</v>
      </c>
      <c r="M108" s="40"/>
      <c r="N108" s="39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5.75" customHeight="1" x14ac:dyDescent="0.2">
      <c r="A109" s="39"/>
      <c r="B109" s="39"/>
      <c r="C109" s="39"/>
      <c r="D109" s="39"/>
      <c r="E109" s="39"/>
      <c r="F109" s="42" t="s">
        <v>102</v>
      </c>
      <c r="G109" s="42" t="s">
        <v>45</v>
      </c>
      <c r="H109" s="43"/>
      <c r="I109" s="39"/>
      <c r="J109" s="39"/>
      <c r="K109" s="39" t="s">
        <v>101</v>
      </c>
      <c r="L109" s="39" t="s">
        <v>51</v>
      </c>
      <c r="M109" s="40"/>
      <c r="N109" s="39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5.75" customHeight="1" x14ac:dyDescent="0.2">
      <c r="A110" s="39"/>
      <c r="B110" s="39"/>
      <c r="C110" s="39"/>
      <c r="D110" s="39"/>
      <c r="E110" s="39"/>
      <c r="F110" s="42" t="s">
        <v>95</v>
      </c>
      <c r="G110" s="42" t="s">
        <v>51</v>
      </c>
      <c r="H110" s="43">
        <v>4.13</v>
      </c>
      <c r="I110" s="39"/>
      <c r="J110" s="39"/>
      <c r="K110" s="39" t="s">
        <v>100</v>
      </c>
      <c r="L110" s="39" t="s">
        <v>51</v>
      </c>
      <c r="M110" s="40"/>
      <c r="N110" s="39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5.75" customHeight="1" x14ac:dyDescent="0.2">
      <c r="A111" s="39"/>
      <c r="B111" s="39"/>
      <c r="C111" s="39"/>
      <c r="D111" s="39"/>
      <c r="E111" s="39"/>
      <c r="F111" s="42" t="s">
        <v>95</v>
      </c>
      <c r="G111" s="42" t="s">
        <v>50</v>
      </c>
      <c r="H111" s="43">
        <v>4.91</v>
      </c>
      <c r="I111" s="39"/>
      <c r="J111" s="39"/>
      <c r="K111" s="39" t="s">
        <v>99</v>
      </c>
      <c r="L111" s="39" t="s">
        <v>51</v>
      </c>
      <c r="M111" s="40"/>
      <c r="N111" s="39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5.75" customHeight="1" x14ac:dyDescent="0.2">
      <c r="A112" s="39"/>
      <c r="B112" s="39"/>
      <c r="C112" s="39"/>
      <c r="D112" s="39"/>
      <c r="E112" s="39"/>
      <c r="F112" s="42" t="s">
        <v>95</v>
      </c>
      <c r="G112" s="42" t="s">
        <v>49</v>
      </c>
      <c r="H112" s="43">
        <v>4.79</v>
      </c>
      <c r="I112" s="39"/>
      <c r="J112" s="39"/>
      <c r="K112" s="39" t="s">
        <v>98</v>
      </c>
      <c r="L112" s="39" t="s">
        <v>51</v>
      </c>
      <c r="M112" s="40"/>
      <c r="N112" s="39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5.75" customHeight="1" x14ac:dyDescent="0.2">
      <c r="A113" s="39"/>
      <c r="B113" s="39"/>
      <c r="C113" s="39"/>
      <c r="D113" s="39"/>
      <c r="E113" s="39"/>
      <c r="F113" s="42" t="s">
        <v>95</v>
      </c>
      <c r="G113" s="42" t="s">
        <v>48</v>
      </c>
      <c r="H113" s="43">
        <v>4.5</v>
      </c>
      <c r="I113" s="39"/>
      <c r="J113" s="39"/>
      <c r="K113" s="39" t="s">
        <v>97</v>
      </c>
      <c r="L113" s="39" t="s">
        <v>47</v>
      </c>
      <c r="M113" s="40"/>
      <c r="N113" s="39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5.75" customHeight="1" x14ac:dyDescent="0.2">
      <c r="A114" s="39"/>
      <c r="B114" s="39"/>
      <c r="C114" s="39"/>
      <c r="D114" s="39"/>
      <c r="E114" s="39"/>
      <c r="F114" s="42" t="s">
        <v>95</v>
      </c>
      <c r="G114" s="42" t="s">
        <v>47</v>
      </c>
      <c r="H114" s="43">
        <v>5.25</v>
      </c>
      <c r="I114" s="39"/>
      <c r="J114" s="39"/>
      <c r="K114" s="39" t="s">
        <v>96</v>
      </c>
      <c r="L114" s="39" t="s">
        <v>51</v>
      </c>
      <c r="M114" s="40"/>
      <c r="N114" s="39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5.75" customHeight="1" x14ac:dyDescent="0.2">
      <c r="A115" s="39"/>
      <c r="B115" s="39"/>
      <c r="C115" s="39"/>
      <c r="D115" s="39"/>
      <c r="E115" s="39"/>
      <c r="F115" s="42" t="s">
        <v>95</v>
      </c>
      <c r="G115" s="42" t="s">
        <v>45</v>
      </c>
      <c r="H115" s="43"/>
      <c r="I115" s="39"/>
      <c r="J115" s="39"/>
      <c r="K115" s="39" t="s">
        <v>94</v>
      </c>
      <c r="L115" s="39" t="s">
        <v>47</v>
      </c>
      <c r="M115" s="40"/>
      <c r="N115" s="39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5.75" customHeight="1" x14ac:dyDescent="0.2">
      <c r="A116" s="39"/>
      <c r="B116" s="39"/>
      <c r="C116" s="39"/>
      <c r="D116" s="39"/>
      <c r="E116" s="39"/>
      <c r="F116" s="42" t="s">
        <v>88</v>
      </c>
      <c r="G116" s="42" t="s">
        <v>51</v>
      </c>
      <c r="H116" s="43">
        <v>4.59</v>
      </c>
      <c r="I116" s="39"/>
      <c r="J116" s="39"/>
      <c r="K116" s="39" t="s">
        <v>93</v>
      </c>
      <c r="L116" s="39" t="s">
        <v>51</v>
      </c>
      <c r="M116" s="40"/>
      <c r="N116" s="39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5.75" customHeight="1" x14ac:dyDescent="0.2">
      <c r="A117" s="39"/>
      <c r="B117" s="39"/>
      <c r="C117" s="39"/>
      <c r="D117" s="39"/>
      <c r="E117" s="39"/>
      <c r="F117" s="42" t="s">
        <v>88</v>
      </c>
      <c r="G117" s="42" t="s">
        <v>50</v>
      </c>
      <c r="H117" s="43">
        <v>4.71</v>
      </c>
      <c r="I117" s="39"/>
      <c r="J117" s="39"/>
      <c r="K117" s="39" t="s">
        <v>92</v>
      </c>
      <c r="L117" s="39" t="s">
        <v>47</v>
      </c>
      <c r="M117" s="40"/>
      <c r="N117" s="39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5.75" customHeight="1" x14ac:dyDescent="0.2">
      <c r="A118" s="39"/>
      <c r="B118" s="39"/>
      <c r="C118" s="39"/>
      <c r="D118" s="39"/>
      <c r="E118" s="39"/>
      <c r="F118" s="42" t="s">
        <v>88</v>
      </c>
      <c r="G118" s="42" t="s">
        <v>49</v>
      </c>
      <c r="H118" s="43">
        <v>4.75</v>
      </c>
      <c r="I118" s="39"/>
      <c r="J118" s="39"/>
      <c r="K118" s="39" t="s">
        <v>91</v>
      </c>
      <c r="L118" s="39" t="s">
        <v>47</v>
      </c>
      <c r="M118" s="40"/>
      <c r="N118" s="39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5.75" customHeight="1" x14ac:dyDescent="0.2">
      <c r="A119" s="39"/>
      <c r="B119" s="39"/>
      <c r="C119" s="39"/>
      <c r="D119" s="39"/>
      <c r="E119" s="39"/>
      <c r="F119" s="42" t="s">
        <v>88</v>
      </c>
      <c r="G119" s="42" t="s">
        <v>48</v>
      </c>
      <c r="H119" s="43">
        <v>5.0199999999999996</v>
      </c>
      <c r="I119" s="39"/>
      <c r="J119" s="39"/>
      <c r="K119" s="39" t="s">
        <v>90</v>
      </c>
      <c r="L119" s="39" t="s">
        <v>47</v>
      </c>
      <c r="M119" s="40"/>
      <c r="N119" s="39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5.75" customHeight="1" x14ac:dyDescent="0.2">
      <c r="A120" s="39"/>
      <c r="B120" s="39"/>
      <c r="C120" s="39"/>
      <c r="D120" s="39"/>
      <c r="E120" s="39"/>
      <c r="F120" s="42" t="s">
        <v>88</v>
      </c>
      <c r="G120" s="42" t="s">
        <v>47</v>
      </c>
      <c r="H120" s="43">
        <v>5.58</v>
      </c>
      <c r="I120" s="39"/>
      <c r="J120" s="39"/>
      <c r="K120" s="39" t="s">
        <v>89</v>
      </c>
      <c r="L120" s="39" t="s">
        <v>47</v>
      </c>
      <c r="M120" s="40"/>
      <c r="N120" s="39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5.75" customHeight="1" x14ac:dyDescent="0.2">
      <c r="A121" s="39"/>
      <c r="B121" s="39"/>
      <c r="C121" s="39"/>
      <c r="D121" s="39"/>
      <c r="E121" s="39"/>
      <c r="F121" s="42" t="s">
        <v>88</v>
      </c>
      <c r="G121" s="42" t="s">
        <v>45</v>
      </c>
      <c r="H121" s="43"/>
      <c r="I121" s="39"/>
      <c r="J121" s="39"/>
      <c r="K121" s="39" t="s">
        <v>87</v>
      </c>
      <c r="L121" s="39" t="s">
        <v>47</v>
      </c>
      <c r="M121" s="40"/>
      <c r="N121" s="39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5.75" customHeight="1" x14ac:dyDescent="0.2">
      <c r="A122" s="39"/>
      <c r="B122" s="39"/>
      <c r="C122" s="39"/>
      <c r="D122" s="39"/>
      <c r="E122" s="39"/>
      <c r="F122" s="42" t="s">
        <v>81</v>
      </c>
      <c r="G122" s="42" t="s">
        <v>51</v>
      </c>
      <c r="H122" s="43">
        <v>4.8600000000000003</v>
      </c>
      <c r="I122" s="39"/>
      <c r="J122" s="39"/>
      <c r="K122" s="39" t="s">
        <v>86</v>
      </c>
      <c r="L122" s="39" t="s">
        <v>47</v>
      </c>
      <c r="M122" s="40"/>
      <c r="N122" s="39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5.75" customHeight="1" x14ac:dyDescent="0.2">
      <c r="A123" s="39"/>
      <c r="B123" s="39"/>
      <c r="C123" s="39"/>
      <c r="D123" s="39"/>
      <c r="E123" s="39"/>
      <c r="F123" s="42" t="s">
        <v>81</v>
      </c>
      <c r="G123" s="42" t="s">
        <v>50</v>
      </c>
      <c r="H123" s="43">
        <v>5</v>
      </c>
      <c r="I123" s="39"/>
      <c r="J123" s="39"/>
      <c r="K123" s="39" t="s">
        <v>85</v>
      </c>
      <c r="L123" s="39" t="s">
        <v>47</v>
      </c>
      <c r="M123" s="40"/>
      <c r="N123" s="39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5.75" customHeight="1" x14ac:dyDescent="0.2">
      <c r="A124" s="39"/>
      <c r="B124" s="39"/>
      <c r="C124" s="39"/>
      <c r="D124" s="39"/>
      <c r="E124" s="39"/>
      <c r="F124" s="42" t="s">
        <v>81</v>
      </c>
      <c r="G124" s="42" t="s">
        <v>49</v>
      </c>
      <c r="H124" s="43">
        <v>5.04</v>
      </c>
      <c r="I124" s="39"/>
      <c r="J124" s="39"/>
      <c r="K124" s="39" t="s">
        <v>84</v>
      </c>
      <c r="L124" s="39" t="s">
        <v>47</v>
      </c>
      <c r="M124" s="40"/>
      <c r="N124" s="39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5.75" customHeight="1" x14ac:dyDescent="0.2">
      <c r="A125" s="39"/>
      <c r="B125" s="39"/>
      <c r="C125" s="39"/>
      <c r="D125" s="39"/>
      <c r="E125" s="39"/>
      <c r="F125" s="42" t="s">
        <v>81</v>
      </c>
      <c r="G125" s="42" t="s">
        <v>48</v>
      </c>
      <c r="H125" s="43">
        <v>5.36</v>
      </c>
      <c r="I125" s="39"/>
      <c r="J125" s="39"/>
      <c r="K125" s="39" t="s">
        <v>83</v>
      </c>
      <c r="L125" s="39" t="s">
        <v>51</v>
      </c>
      <c r="M125" s="40"/>
      <c r="N125" s="39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5.75" customHeight="1" x14ac:dyDescent="0.2">
      <c r="A126" s="39"/>
      <c r="B126" s="39"/>
      <c r="C126" s="39"/>
      <c r="D126" s="39"/>
      <c r="E126" s="39"/>
      <c r="F126" s="42" t="s">
        <v>81</v>
      </c>
      <c r="G126" s="42" t="s">
        <v>47</v>
      </c>
      <c r="H126" s="43">
        <v>6.04</v>
      </c>
      <c r="I126" s="39"/>
      <c r="J126" s="39"/>
      <c r="K126" s="39" t="s">
        <v>82</v>
      </c>
      <c r="L126" s="39" t="s">
        <v>51</v>
      </c>
      <c r="M126" s="40"/>
      <c r="N126" s="39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5.75" customHeight="1" x14ac:dyDescent="0.2">
      <c r="A127" s="39"/>
      <c r="B127" s="39"/>
      <c r="C127" s="39"/>
      <c r="D127" s="39"/>
      <c r="E127" s="39"/>
      <c r="F127" s="42" t="s">
        <v>81</v>
      </c>
      <c r="G127" s="42" t="s">
        <v>45</v>
      </c>
      <c r="H127" s="43"/>
      <c r="I127" s="39"/>
      <c r="J127" s="39"/>
      <c r="K127" s="39" t="s">
        <v>80</v>
      </c>
      <c r="L127" s="39" t="s">
        <v>51</v>
      </c>
      <c r="M127" s="40"/>
      <c r="N127" s="39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5.75" customHeight="1" x14ac:dyDescent="0.2">
      <c r="A128" s="39"/>
      <c r="B128" s="39"/>
      <c r="C128" s="39"/>
      <c r="D128" s="39"/>
      <c r="E128" s="39"/>
      <c r="F128" s="42" t="s">
        <v>74</v>
      </c>
      <c r="G128" s="42" t="s">
        <v>51</v>
      </c>
      <c r="H128" s="43">
        <v>4.75</v>
      </c>
      <c r="I128" s="39"/>
      <c r="J128" s="39"/>
      <c r="K128" s="39" t="s">
        <v>79</v>
      </c>
      <c r="L128" s="39" t="s">
        <v>51</v>
      </c>
      <c r="M128" s="40"/>
      <c r="N128" s="39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5.75" customHeight="1" x14ac:dyDescent="0.2">
      <c r="A129" s="39"/>
      <c r="B129" s="39"/>
      <c r="C129" s="39"/>
      <c r="D129" s="39"/>
      <c r="E129" s="39"/>
      <c r="F129" s="42" t="s">
        <v>74</v>
      </c>
      <c r="G129" s="42" t="s">
        <v>50</v>
      </c>
      <c r="H129" s="43"/>
      <c r="I129" s="39"/>
      <c r="J129" s="39"/>
      <c r="K129" s="39" t="s">
        <v>78</v>
      </c>
      <c r="L129" s="39" t="s">
        <v>51</v>
      </c>
      <c r="M129" s="40"/>
      <c r="N129" s="39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5.75" customHeight="1" x14ac:dyDescent="0.2">
      <c r="A130" s="39"/>
      <c r="B130" s="39"/>
      <c r="C130" s="39"/>
      <c r="D130" s="39"/>
      <c r="E130" s="39"/>
      <c r="F130" s="42" t="s">
        <v>74</v>
      </c>
      <c r="G130" s="42" t="s">
        <v>49</v>
      </c>
      <c r="H130" s="43"/>
      <c r="I130" s="39"/>
      <c r="J130" s="39"/>
      <c r="K130" s="39" t="s">
        <v>77</v>
      </c>
      <c r="L130" s="39" t="s">
        <v>51</v>
      </c>
      <c r="M130" s="40"/>
      <c r="N130" s="39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5.75" customHeight="1" x14ac:dyDescent="0.2">
      <c r="A131" s="39"/>
      <c r="B131" s="39"/>
      <c r="C131" s="39"/>
      <c r="D131" s="39"/>
      <c r="E131" s="39"/>
      <c r="F131" s="42" t="s">
        <v>74</v>
      </c>
      <c r="G131" s="42" t="s">
        <v>48</v>
      </c>
      <c r="H131" s="43"/>
      <c r="I131" s="39"/>
      <c r="J131" s="39"/>
      <c r="K131" s="39" t="s">
        <v>76</v>
      </c>
      <c r="L131" s="39" t="s">
        <v>51</v>
      </c>
      <c r="M131" s="40"/>
      <c r="N131" s="39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5.75" customHeight="1" x14ac:dyDescent="0.2">
      <c r="A132" s="39"/>
      <c r="B132" s="39"/>
      <c r="C132" s="39"/>
      <c r="D132" s="39"/>
      <c r="E132" s="39"/>
      <c r="F132" s="42" t="s">
        <v>74</v>
      </c>
      <c r="G132" s="42" t="s">
        <v>47</v>
      </c>
      <c r="H132" s="43"/>
      <c r="I132" s="39"/>
      <c r="J132" s="39"/>
      <c r="K132" s="39" t="s">
        <v>75</v>
      </c>
      <c r="L132" s="39" t="s">
        <v>47</v>
      </c>
      <c r="M132" s="40"/>
      <c r="N132" s="39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5.75" customHeight="1" x14ac:dyDescent="0.2">
      <c r="A133" s="39"/>
      <c r="B133" s="39"/>
      <c r="C133" s="39"/>
      <c r="D133" s="39"/>
      <c r="E133" s="39"/>
      <c r="F133" s="42" t="s">
        <v>74</v>
      </c>
      <c r="G133" s="42" t="s">
        <v>45</v>
      </c>
      <c r="H133" s="43"/>
      <c r="I133" s="39"/>
      <c r="J133" s="39"/>
      <c r="K133" s="39" t="s">
        <v>73</v>
      </c>
      <c r="L133" s="39" t="s">
        <v>47</v>
      </c>
      <c r="M133" s="40"/>
      <c r="N133" s="39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5.75" customHeight="1" x14ac:dyDescent="0.2">
      <c r="A134" s="39"/>
      <c r="B134" s="39"/>
      <c r="C134" s="39"/>
      <c r="D134" s="39"/>
      <c r="E134" s="39"/>
      <c r="F134" s="42" t="s">
        <v>67</v>
      </c>
      <c r="G134" s="42" t="s">
        <v>51</v>
      </c>
      <c r="H134" s="43">
        <v>4.25</v>
      </c>
      <c r="I134" s="39"/>
      <c r="J134" s="39"/>
      <c r="K134" s="39" t="s">
        <v>72</v>
      </c>
      <c r="L134" s="39" t="s">
        <v>47</v>
      </c>
      <c r="M134" s="40"/>
      <c r="N134" s="39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5.75" customHeight="1" x14ac:dyDescent="0.2">
      <c r="A135" s="39"/>
      <c r="B135" s="39"/>
      <c r="C135" s="39"/>
      <c r="D135" s="39"/>
      <c r="E135" s="39"/>
      <c r="F135" s="42" t="s">
        <v>67</v>
      </c>
      <c r="G135" s="42" t="s">
        <v>50</v>
      </c>
      <c r="H135" s="43"/>
      <c r="I135" s="39"/>
      <c r="J135" s="39"/>
      <c r="K135" s="39" t="s">
        <v>71</v>
      </c>
      <c r="L135" s="39" t="s">
        <v>47</v>
      </c>
      <c r="M135" s="40"/>
      <c r="N135" s="39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5.75" customHeight="1" x14ac:dyDescent="0.2">
      <c r="A136" s="39"/>
      <c r="B136" s="39"/>
      <c r="C136" s="39"/>
      <c r="D136" s="39"/>
      <c r="E136" s="39"/>
      <c r="F136" s="42" t="s">
        <v>67</v>
      </c>
      <c r="G136" s="42" t="s">
        <v>49</v>
      </c>
      <c r="H136" s="43"/>
      <c r="I136" s="39"/>
      <c r="J136" s="39"/>
      <c r="K136" s="39" t="s">
        <v>70</v>
      </c>
      <c r="L136" s="39" t="s">
        <v>47</v>
      </c>
      <c r="M136" s="40"/>
      <c r="N136" s="39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5.75" customHeight="1" x14ac:dyDescent="0.2">
      <c r="A137" s="39"/>
      <c r="B137" s="39"/>
      <c r="C137" s="39"/>
      <c r="D137" s="39"/>
      <c r="E137" s="39"/>
      <c r="F137" s="42" t="s">
        <v>67</v>
      </c>
      <c r="G137" s="42" t="s">
        <v>48</v>
      </c>
      <c r="H137" s="43"/>
      <c r="I137" s="39"/>
      <c r="J137" s="39"/>
      <c r="K137" s="39" t="s">
        <v>69</v>
      </c>
      <c r="L137" s="39" t="s">
        <v>51</v>
      </c>
      <c r="M137" s="40"/>
      <c r="N137" s="39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5.75" customHeight="1" x14ac:dyDescent="0.2">
      <c r="A138" s="39"/>
      <c r="B138" s="39"/>
      <c r="C138" s="39"/>
      <c r="D138" s="39"/>
      <c r="E138" s="39"/>
      <c r="F138" s="42" t="s">
        <v>67</v>
      </c>
      <c r="G138" s="42" t="s">
        <v>47</v>
      </c>
      <c r="H138" s="43"/>
      <c r="I138" s="39"/>
      <c r="J138" s="39"/>
      <c r="K138" s="39" t="s">
        <v>68</v>
      </c>
      <c r="L138" s="39" t="s">
        <v>51</v>
      </c>
      <c r="M138" s="40"/>
      <c r="N138" s="39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5.75" customHeight="1" x14ac:dyDescent="0.2">
      <c r="A139" s="39"/>
      <c r="B139" s="39"/>
      <c r="C139" s="39"/>
      <c r="D139" s="39"/>
      <c r="E139" s="39"/>
      <c r="F139" s="42" t="s">
        <v>67</v>
      </c>
      <c r="G139" s="42" t="s">
        <v>45</v>
      </c>
      <c r="H139" s="43"/>
      <c r="I139" s="39"/>
      <c r="J139" s="39"/>
      <c r="K139" s="39" t="s">
        <v>333</v>
      </c>
      <c r="L139" s="39" t="s">
        <v>51</v>
      </c>
      <c r="M139" s="40"/>
      <c r="N139" s="39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5.75" customHeight="1" x14ac:dyDescent="0.2">
      <c r="A140" s="39"/>
      <c r="B140" s="39"/>
      <c r="C140" s="39"/>
      <c r="D140" s="39"/>
      <c r="E140" s="39"/>
      <c r="F140" s="42" t="s">
        <v>65</v>
      </c>
      <c r="G140" s="42" t="s">
        <v>51</v>
      </c>
      <c r="H140" s="43">
        <v>6.1</v>
      </c>
      <c r="I140" s="39"/>
      <c r="J140" s="39"/>
      <c r="K140" s="39" t="s">
        <v>334</v>
      </c>
      <c r="L140" s="39" t="s">
        <v>51</v>
      </c>
      <c r="M140" s="40"/>
      <c r="N140" s="39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5.75" customHeight="1" x14ac:dyDescent="0.2">
      <c r="A141" s="39"/>
      <c r="B141" s="39"/>
      <c r="C141" s="39"/>
      <c r="D141" s="39"/>
      <c r="E141" s="39"/>
      <c r="F141" s="42" t="s">
        <v>65</v>
      </c>
      <c r="G141" s="42" t="s">
        <v>50</v>
      </c>
      <c r="H141" s="43"/>
      <c r="I141" s="39"/>
      <c r="J141" s="39"/>
      <c r="K141" s="39" t="s">
        <v>352</v>
      </c>
      <c r="L141" s="39" t="s">
        <v>51</v>
      </c>
      <c r="M141" s="40"/>
      <c r="N141" s="39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5.75" customHeight="1" x14ac:dyDescent="0.2">
      <c r="A142" s="39"/>
      <c r="B142" s="39"/>
      <c r="C142" s="39"/>
      <c r="D142" s="39"/>
      <c r="E142" s="39"/>
      <c r="F142" s="42" t="s">
        <v>65</v>
      </c>
      <c r="G142" s="42" t="s">
        <v>49</v>
      </c>
      <c r="H142" s="43"/>
      <c r="I142" s="39"/>
      <c r="J142" s="39"/>
      <c r="K142" s="39" t="s">
        <v>76</v>
      </c>
      <c r="L142" s="39" t="s">
        <v>51</v>
      </c>
      <c r="M142" s="40"/>
      <c r="N142" s="39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5.75" customHeight="1" x14ac:dyDescent="0.2">
      <c r="A143" s="39"/>
      <c r="B143" s="39"/>
      <c r="C143" s="39"/>
      <c r="D143" s="39"/>
      <c r="E143" s="39"/>
      <c r="F143" s="42" t="s">
        <v>65</v>
      </c>
      <c r="G143" s="42" t="s">
        <v>48</v>
      </c>
      <c r="H143" s="43"/>
      <c r="I143" s="39"/>
      <c r="J143" s="39"/>
      <c r="K143" s="39" t="s">
        <v>359</v>
      </c>
      <c r="L143" s="39" t="s">
        <v>51</v>
      </c>
      <c r="M143" s="40"/>
      <c r="N143" s="39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5.75" customHeight="1" x14ac:dyDescent="0.2">
      <c r="A144" s="39"/>
      <c r="B144" s="39"/>
      <c r="C144" s="39"/>
      <c r="D144" s="39"/>
      <c r="E144" s="39"/>
      <c r="F144" s="42" t="s">
        <v>65</v>
      </c>
      <c r="G144" s="42" t="s">
        <v>47</v>
      </c>
      <c r="H144" s="43"/>
      <c r="I144" s="39"/>
      <c r="J144" s="39"/>
      <c r="K144" s="39" t="s">
        <v>360</v>
      </c>
      <c r="L144" s="39" t="s">
        <v>51</v>
      </c>
      <c r="M144" s="40"/>
      <c r="N144" s="39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5.75" customHeight="1" x14ac:dyDescent="0.2">
      <c r="A145" s="39"/>
      <c r="B145" s="39"/>
      <c r="C145" s="39"/>
      <c r="D145" s="39"/>
      <c r="E145" s="39"/>
      <c r="F145" s="42" t="s">
        <v>65</v>
      </c>
      <c r="G145" s="42" t="s">
        <v>45</v>
      </c>
      <c r="H145" s="43"/>
      <c r="I145" s="39"/>
      <c r="J145" s="39"/>
      <c r="K145" s="39" t="s">
        <v>361</v>
      </c>
      <c r="L145" s="39" t="s">
        <v>51</v>
      </c>
      <c r="M145" s="40"/>
      <c r="N145" s="39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5.75" customHeight="1" x14ac:dyDescent="0.2">
      <c r="A146" s="39"/>
      <c r="B146" s="39"/>
      <c r="C146" s="39"/>
      <c r="D146" s="39"/>
      <c r="E146" s="39"/>
      <c r="F146" s="42" t="s">
        <v>64</v>
      </c>
      <c r="G146" s="42" t="s">
        <v>51</v>
      </c>
      <c r="H146" s="43"/>
      <c r="I146" s="39"/>
      <c r="J146" s="39"/>
      <c r="K146" s="39" t="s">
        <v>355</v>
      </c>
      <c r="L146" s="39" t="s">
        <v>51</v>
      </c>
      <c r="M146" s="40"/>
      <c r="N146" s="39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5.75" customHeight="1" x14ac:dyDescent="0.2">
      <c r="A147" s="39"/>
      <c r="B147" s="39"/>
      <c r="C147" s="39"/>
      <c r="D147" s="39"/>
      <c r="E147" s="39"/>
      <c r="F147" s="42" t="s">
        <v>64</v>
      </c>
      <c r="G147" s="42" t="s">
        <v>50</v>
      </c>
      <c r="H147" s="43"/>
      <c r="I147" s="39"/>
      <c r="J147" s="39"/>
      <c r="K147" s="39" t="s">
        <v>356</v>
      </c>
      <c r="L147" s="39" t="s">
        <v>51</v>
      </c>
      <c r="M147" s="40"/>
      <c r="N147" s="39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5.75" customHeight="1" x14ac:dyDescent="0.2">
      <c r="A148" s="39"/>
      <c r="B148" s="39"/>
      <c r="C148" s="39"/>
      <c r="D148" s="39"/>
      <c r="E148" s="39"/>
      <c r="F148" s="42" t="s">
        <v>64</v>
      </c>
      <c r="G148" s="42" t="s">
        <v>49</v>
      </c>
      <c r="H148" s="43"/>
      <c r="I148" s="39"/>
      <c r="J148" s="39"/>
      <c r="K148" s="39" t="s">
        <v>362</v>
      </c>
      <c r="L148" s="39" t="s">
        <v>51</v>
      </c>
      <c r="M148" s="40"/>
      <c r="N148" s="39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5.75" customHeight="1" x14ac:dyDescent="0.2">
      <c r="A149" s="39"/>
      <c r="B149" s="39"/>
      <c r="C149" s="39"/>
      <c r="D149" s="39"/>
      <c r="E149" s="39"/>
      <c r="F149" s="42" t="s">
        <v>64</v>
      </c>
      <c r="G149" s="42" t="s">
        <v>48</v>
      </c>
      <c r="H149" s="43"/>
      <c r="I149" s="39"/>
      <c r="J149" s="39"/>
      <c r="K149" s="39" t="s">
        <v>355</v>
      </c>
      <c r="L149" s="39" t="s">
        <v>51</v>
      </c>
      <c r="M149" s="40"/>
      <c r="N149" s="39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5.75" customHeight="1" x14ac:dyDescent="0.2">
      <c r="A150" s="39"/>
      <c r="B150" s="39"/>
      <c r="C150" s="39"/>
      <c r="D150" s="39"/>
      <c r="E150" s="39"/>
      <c r="F150" s="42" t="s">
        <v>64</v>
      </c>
      <c r="G150" s="42" t="s">
        <v>47</v>
      </c>
      <c r="H150" s="43"/>
      <c r="I150" s="39"/>
      <c r="J150" s="39"/>
      <c r="K150" s="39" t="s">
        <v>365</v>
      </c>
      <c r="L150" s="39" t="s">
        <v>47</v>
      </c>
      <c r="M150" s="40"/>
      <c r="N150" s="39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5.75" customHeight="1" x14ac:dyDescent="0.2">
      <c r="A151" s="39"/>
      <c r="B151" s="39"/>
      <c r="C151" s="39"/>
      <c r="D151" s="39"/>
      <c r="E151" s="39"/>
      <c r="F151" s="42" t="s">
        <v>64</v>
      </c>
      <c r="G151" s="42" t="s">
        <v>45</v>
      </c>
      <c r="H151" s="43"/>
      <c r="I151" s="39"/>
      <c r="J151" s="39"/>
      <c r="K151" s="39" t="s">
        <v>372</v>
      </c>
      <c r="L151" s="39" t="s">
        <v>47</v>
      </c>
      <c r="M151" s="40"/>
      <c r="N151" s="39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5.75" customHeight="1" x14ac:dyDescent="0.2">
      <c r="A152" s="39"/>
      <c r="B152" s="39"/>
      <c r="C152" s="39"/>
      <c r="D152" s="39"/>
      <c r="E152" s="39"/>
      <c r="F152" s="42" t="s">
        <v>63</v>
      </c>
      <c r="G152" s="42" t="s">
        <v>51</v>
      </c>
      <c r="H152" s="43">
        <v>4.05</v>
      </c>
      <c r="I152" s="39"/>
      <c r="J152" s="39"/>
      <c r="K152" s="40" t="s">
        <v>366</v>
      </c>
      <c r="L152" s="39" t="s">
        <v>47</v>
      </c>
      <c r="M152" s="40"/>
      <c r="N152" s="39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5.75" customHeight="1" x14ac:dyDescent="0.2">
      <c r="A153" s="39"/>
      <c r="B153" s="39"/>
      <c r="C153" s="39"/>
      <c r="D153" s="39"/>
      <c r="E153" s="39"/>
      <c r="F153" s="42" t="s">
        <v>63</v>
      </c>
      <c r="G153" s="42" t="s">
        <v>50</v>
      </c>
      <c r="H153" s="43">
        <v>1.1599999999999999</v>
      </c>
      <c r="I153" s="39"/>
      <c r="J153" s="39"/>
      <c r="K153" s="40" t="s">
        <v>367</v>
      </c>
      <c r="L153" s="39" t="s">
        <v>47</v>
      </c>
      <c r="M153" s="40"/>
      <c r="N153" s="39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5.75" customHeight="1" x14ac:dyDescent="0.2">
      <c r="A154" s="39"/>
      <c r="B154" s="39"/>
      <c r="C154" s="39"/>
      <c r="D154" s="39"/>
      <c r="E154" s="39"/>
      <c r="F154" s="42" t="s">
        <v>63</v>
      </c>
      <c r="G154" s="42" t="s">
        <v>49</v>
      </c>
      <c r="H154" s="43">
        <v>4.1900000000000004</v>
      </c>
      <c r="I154" s="39"/>
      <c r="J154" s="39"/>
      <c r="K154" s="40" t="s">
        <v>368</v>
      </c>
      <c r="L154" s="39" t="s">
        <v>47</v>
      </c>
      <c r="M154" s="40"/>
      <c r="N154" s="39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5.75" customHeight="1" x14ac:dyDescent="0.2">
      <c r="A155" s="39"/>
      <c r="B155" s="39"/>
      <c r="C155" s="39"/>
      <c r="D155" s="39"/>
      <c r="E155" s="39"/>
      <c r="F155" s="42" t="s">
        <v>63</v>
      </c>
      <c r="G155" s="42" t="s">
        <v>48</v>
      </c>
      <c r="H155" s="43">
        <v>4.4800000000000004</v>
      </c>
      <c r="I155" s="39"/>
      <c r="J155" s="39"/>
      <c r="K155" s="40" t="s">
        <v>369</v>
      </c>
      <c r="L155" s="39" t="s">
        <v>47</v>
      </c>
      <c r="M155" s="40"/>
      <c r="N155" s="39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5.75" customHeight="1" x14ac:dyDescent="0.2">
      <c r="A156" s="39"/>
      <c r="B156" s="39"/>
      <c r="C156" s="39"/>
      <c r="D156" s="39"/>
      <c r="E156" s="39"/>
      <c r="F156" s="42" t="s">
        <v>63</v>
      </c>
      <c r="G156" s="42" t="s">
        <v>47</v>
      </c>
      <c r="H156" s="43">
        <v>5.01</v>
      </c>
      <c r="I156" s="39"/>
      <c r="J156" s="39"/>
      <c r="K156" s="39" t="s">
        <v>370</v>
      </c>
      <c r="L156" s="39" t="s">
        <v>47</v>
      </c>
      <c r="M156" s="39"/>
      <c r="N156" s="39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5.75" customHeight="1" x14ac:dyDescent="0.2">
      <c r="A157" s="39"/>
      <c r="B157" s="39"/>
      <c r="C157" s="39"/>
      <c r="D157" s="39"/>
      <c r="E157" s="39"/>
      <c r="F157" s="42" t="s">
        <v>63</v>
      </c>
      <c r="G157" s="42" t="s">
        <v>45</v>
      </c>
      <c r="H157" s="43"/>
      <c r="I157" s="39"/>
      <c r="J157" s="39"/>
      <c r="K157" s="39"/>
      <c r="L157" s="39"/>
      <c r="M157" s="39"/>
      <c r="N157" s="39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5.75" customHeight="1" x14ac:dyDescent="0.2">
      <c r="A158" s="39"/>
      <c r="B158" s="39"/>
      <c r="C158" s="39"/>
      <c r="D158" s="39"/>
      <c r="E158" s="39"/>
      <c r="F158" s="39" t="s">
        <v>62</v>
      </c>
      <c r="G158" s="39" t="s">
        <v>51</v>
      </c>
      <c r="H158" s="39">
        <v>1.64</v>
      </c>
      <c r="I158" s="39"/>
      <c r="J158" s="39"/>
      <c r="K158" s="39"/>
      <c r="L158" s="39"/>
      <c r="M158" s="39"/>
      <c r="N158" s="39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5.75" customHeight="1" x14ac:dyDescent="0.2">
      <c r="A159" s="39"/>
      <c r="B159" s="39"/>
      <c r="C159" s="39"/>
      <c r="D159" s="39"/>
      <c r="E159" s="39"/>
      <c r="F159" s="39" t="s">
        <v>61</v>
      </c>
      <c r="G159" s="39" t="s">
        <v>51</v>
      </c>
      <c r="H159" s="39">
        <v>5.68</v>
      </c>
      <c r="I159" s="39"/>
      <c r="J159" s="39"/>
      <c r="K159" s="39"/>
      <c r="L159" s="39"/>
      <c r="M159" s="39"/>
      <c r="N159" s="39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5.75" customHeight="1" x14ac:dyDescent="0.2">
      <c r="A160" s="39"/>
      <c r="B160" s="39"/>
      <c r="C160" s="39"/>
      <c r="D160" s="39"/>
      <c r="E160" s="39"/>
      <c r="F160" s="39" t="s">
        <v>60</v>
      </c>
      <c r="G160" s="39" t="s">
        <v>51</v>
      </c>
      <c r="H160" s="39">
        <v>5</v>
      </c>
      <c r="I160" s="39"/>
      <c r="J160" s="39"/>
      <c r="K160" s="39"/>
      <c r="L160" s="39"/>
      <c r="M160" s="39"/>
      <c r="N160" s="39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5.75" customHeight="1" x14ac:dyDescent="0.2">
      <c r="A161" s="39"/>
      <c r="B161" s="39"/>
      <c r="C161" s="39"/>
      <c r="D161" s="39"/>
      <c r="E161" s="39"/>
      <c r="F161" s="39" t="s">
        <v>59</v>
      </c>
      <c r="G161" s="39" t="s">
        <v>51</v>
      </c>
      <c r="H161" s="39">
        <v>6.32</v>
      </c>
      <c r="I161" s="39"/>
      <c r="J161" s="39"/>
      <c r="K161" s="39"/>
      <c r="L161" s="39"/>
      <c r="M161" s="39"/>
      <c r="N161" s="39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5.75" customHeight="1" x14ac:dyDescent="0.2">
      <c r="A162" s="39"/>
      <c r="B162" s="39"/>
      <c r="C162" s="39"/>
      <c r="D162" s="39"/>
      <c r="E162" s="39"/>
      <c r="F162" s="42" t="s">
        <v>58</v>
      </c>
      <c r="G162" s="42" t="s">
        <v>51</v>
      </c>
      <c r="H162" s="43">
        <v>6.5</v>
      </c>
      <c r="I162" s="39"/>
      <c r="J162" s="39"/>
      <c r="K162" s="39"/>
      <c r="L162" s="39"/>
      <c r="M162" s="39"/>
      <c r="N162" s="39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5.75" customHeight="1" x14ac:dyDescent="0.2">
      <c r="A163" s="39"/>
      <c r="B163" s="39"/>
      <c r="C163" s="39"/>
      <c r="D163" s="39"/>
      <c r="E163" s="39"/>
      <c r="F163" s="42" t="s">
        <v>58</v>
      </c>
      <c r="G163" s="42" t="s">
        <v>50</v>
      </c>
      <c r="H163" s="43">
        <v>6.5</v>
      </c>
      <c r="I163" s="39"/>
      <c r="J163" s="39"/>
      <c r="K163" s="39"/>
      <c r="L163" s="39"/>
      <c r="M163" s="39"/>
      <c r="N163" s="39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5.75" customHeight="1" x14ac:dyDescent="0.2">
      <c r="A164" s="39"/>
      <c r="B164" s="39"/>
      <c r="C164" s="39"/>
      <c r="D164" s="39"/>
      <c r="E164" s="39"/>
      <c r="F164" s="42" t="s">
        <v>58</v>
      </c>
      <c r="G164" s="42" t="s">
        <v>49</v>
      </c>
      <c r="H164" s="43"/>
      <c r="I164" s="39"/>
      <c r="J164" s="39"/>
      <c r="K164" s="39"/>
      <c r="L164" s="39"/>
      <c r="M164" s="39"/>
      <c r="N164" s="39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5.75" customHeight="1" x14ac:dyDescent="0.2">
      <c r="A165" s="39"/>
      <c r="B165" s="39"/>
      <c r="C165" s="39"/>
      <c r="D165" s="39"/>
      <c r="E165" s="39"/>
      <c r="F165" s="42" t="s">
        <v>58</v>
      </c>
      <c r="G165" s="42" t="s">
        <v>48</v>
      </c>
      <c r="H165" s="43"/>
      <c r="I165" s="39"/>
      <c r="J165" s="39"/>
      <c r="K165" s="39"/>
      <c r="L165" s="39"/>
      <c r="M165" s="39"/>
      <c r="N165" s="39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5.75" customHeight="1" x14ac:dyDescent="0.2">
      <c r="A166" s="39"/>
      <c r="B166" s="39"/>
      <c r="C166" s="39"/>
      <c r="D166" s="39"/>
      <c r="E166" s="39"/>
      <c r="F166" s="42" t="s">
        <v>58</v>
      </c>
      <c r="G166" s="42" t="s">
        <v>47</v>
      </c>
      <c r="H166" s="43"/>
      <c r="I166" s="39"/>
      <c r="J166" s="39"/>
      <c r="K166" s="39"/>
      <c r="L166" s="39"/>
      <c r="M166" s="39"/>
      <c r="N166" s="39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5.75" customHeight="1" x14ac:dyDescent="0.2">
      <c r="A167" s="39"/>
      <c r="B167" s="39"/>
      <c r="C167" s="39"/>
      <c r="D167" s="39"/>
      <c r="E167" s="39"/>
      <c r="F167" s="42" t="s">
        <v>58</v>
      </c>
      <c r="G167" s="42" t="s">
        <v>45</v>
      </c>
      <c r="H167" s="43"/>
      <c r="I167" s="39"/>
      <c r="J167" s="39"/>
      <c r="K167" s="39"/>
      <c r="L167" s="39"/>
      <c r="M167" s="39"/>
      <c r="N167" s="39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5.75" customHeight="1" x14ac:dyDescent="0.2">
      <c r="A168" s="39"/>
      <c r="B168" s="39"/>
      <c r="C168" s="39"/>
      <c r="D168" s="39"/>
      <c r="E168" s="39"/>
      <c r="F168" s="42" t="s">
        <v>57</v>
      </c>
      <c r="G168" s="42" t="s">
        <v>51</v>
      </c>
      <c r="H168" s="43">
        <v>9</v>
      </c>
      <c r="I168" s="39"/>
      <c r="J168" s="39"/>
      <c r="K168" s="39"/>
      <c r="L168" s="39"/>
      <c r="M168" s="39"/>
      <c r="N168" s="39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5.75" customHeight="1" x14ac:dyDescent="0.2">
      <c r="A169" s="39"/>
      <c r="B169" s="39"/>
      <c r="C169" s="39"/>
      <c r="D169" s="39"/>
      <c r="E169" s="39"/>
      <c r="F169" s="42" t="s">
        <v>57</v>
      </c>
      <c r="G169" s="42" t="s">
        <v>50</v>
      </c>
      <c r="H169" s="43">
        <v>9</v>
      </c>
      <c r="I169" s="39"/>
      <c r="J169" s="39"/>
      <c r="K169" s="39"/>
      <c r="L169" s="39"/>
      <c r="M169" s="39"/>
      <c r="N169" s="39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5.75" customHeight="1" x14ac:dyDescent="0.2">
      <c r="A170" s="39"/>
      <c r="B170" s="39"/>
      <c r="C170" s="39"/>
      <c r="D170" s="39"/>
      <c r="E170" s="39"/>
      <c r="F170" s="42" t="s">
        <v>57</v>
      </c>
      <c r="G170" s="42" t="s">
        <v>49</v>
      </c>
      <c r="H170" s="43"/>
      <c r="I170" s="39"/>
      <c r="J170" s="39"/>
      <c r="K170" s="39"/>
      <c r="L170" s="39"/>
      <c r="M170" s="39"/>
      <c r="N170" s="39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5.75" customHeight="1" x14ac:dyDescent="0.2">
      <c r="A171" s="39"/>
      <c r="B171" s="39"/>
      <c r="C171" s="39"/>
      <c r="D171" s="39"/>
      <c r="E171" s="39"/>
      <c r="F171" s="42" t="s">
        <v>57</v>
      </c>
      <c r="G171" s="42" t="s">
        <v>48</v>
      </c>
      <c r="H171" s="43"/>
      <c r="I171" s="39"/>
      <c r="J171" s="39"/>
      <c r="K171" s="39"/>
      <c r="L171" s="39"/>
      <c r="M171" s="39"/>
      <c r="N171" s="39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5.75" customHeight="1" x14ac:dyDescent="0.2">
      <c r="A172" s="39"/>
      <c r="B172" s="39"/>
      <c r="C172" s="39"/>
      <c r="D172" s="39"/>
      <c r="E172" s="39"/>
      <c r="F172" s="42" t="s">
        <v>57</v>
      </c>
      <c r="G172" s="42" t="s">
        <v>47</v>
      </c>
      <c r="H172" s="43"/>
      <c r="I172" s="39"/>
      <c r="J172" s="39"/>
      <c r="K172" s="39"/>
      <c r="L172" s="39"/>
      <c r="M172" s="39"/>
      <c r="N172" s="39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5.75" customHeight="1" x14ac:dyDescent="0.2">
      <c r="A173" s="39"/>
      <c r="B173" s="39"/>
      <c r="C173" s="39"/>
      <c r="D173" s="39"/>
      <c r="E173" s="39"/>
      <c r="F173" s="42" t="s">
        <v>57</v>
      </c>
      <c r="G173" s="42" t="s">
        <v>45</v>
      </c>
      <c r="H173" s="43"/>
      <c r="I173" s="39"/>
      <c r="J173" s="39"/>
      <c r="K173" s="39"/>
      <c r="L173" s="39"/>
      <c r="M173" s="39"/>
      <c r="N173" s="39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5.75" customHeight="1" x14ac:dyDescent="0.2">
      <c r="A174" s="39"/>
      <c r="B174" s="39"/>
      <c r="C174" s="39"/>
      <c r="D174" s="39"/>
      <c r="E174" s="39"/>
      <c r="F174" s="42" t="s">
        <v>56</v>
      </c>
      <c r="G174" s="42" t="s">
        <v>51</v>
      </c>
      <c r="H174" s="43">
        <v>6.75</v>
      </c>
      <c r="I174" s="39"/>
      <c r="J174" s="39"/>
      <c r="K174" s="39"/>
      <c r="L174" s="39"/>
      <c r="M174" s="39"/>
      <c r="N174" s="39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5.75" customHeight="1" x14ac:dyDescent="0.2">
      <c r="A175" s="39"/>
      <c r="B175" s="39"/>
      <c r="C175" s="39"/>
      <c r="D175" s="39"/>
      <c r="E175" s="39"/>
      <c r="F175" s="42" t="s">
        <v>56</v>
      </c>
      <c r="G175" s="42" t="s">
        <v>50</v>
      </c>
      <c r="H175" s="43">
        <v>6.75</v>
      </c>
      <c r="I175" s="39"/>
      <c r="J175" s="39"/>
      <c r="K175" s="39"/>
      <c r="L175" s="39"/>
      <c r="M175" s="39"/>
      <c r="N175" s="39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5.75" customHeight="1" x14ac:dyDescent="0.2">
      <c r="A176" s="39"/>
      <c r="B176" s="39"/>
      <c r="C176" s="39"/>
      <c r="D176" s="39"/>
      <c r="E176" s="39"/>
      <c r="F176" s="42" t="s">
        <v>56</v>
      </c>
      <c r="G176" s="42" t="s">
        <v>49</v>
      </c>
      <c r="H176" s="43"/>
      <c r="I176" s="39"/>
      <c r="J176" s="39"/>
      <c r="K176" s="39"/>
      <c r="L176" s="39"/>
      <c r="M176" s="39"/>
      <c r="N176" s="39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5.75" customHeight="1" x14ac:dyDescent="0.2">
      <c r="A177" s="39"/>
      <c r="B177" s="39"/>
      <c r="C177" s="39"/>
      <c r="D177" s="39"/>
      <c r="E177" s="39"/>
      <c r="F177" s="42" t="s">
        <v>56</v>
      </c>
      <c r="G177" s="42" t="s">
        <v>48</v>
      </c>
      <c r="H177" s="43"/>
      <c r="I177" s="39"/>
      <c r="J177" s="39"/>
      <c r="K177" s="39"/>
      <c r="L177" s="39"/>
      <c r="M177" s="39"/>
      <c r="N177" s="39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5.75" customHeight="1" x14ac:dyDescent="0.2">
      <c r="A178" s="39"/>
      <c r="B178" s="39"/>
      <c r="C178" s="39"/>
      <c r="D178" s="39"/>
      <c r="E178" s="39"/>
      <c r="F178" s="42" t="s">
        <v>56</v>
      </c>
      <c r="G178" s="42" t="s">
        <v>47</v>
      </c>
      <c r="H178" s="43"/>
      <c r="I178" s="39"/>
      <c r="J178" s="39"/>
      <c r="K178" s="39"/>
      <c r="L178" s="39"/>
      <c r="M178" s="39"/>
      <c r="N178" s="39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5.75" customHeight="1" x14ac:dyDescent="0.2">
      <c r="A179" s="39"/>
      <c r="B179" s="39"/>
      <c r="C179" s="39"/>
      <c r="D179" s="39"/>
      <c r="E179" s="39"/>
      <c r="F179" s="42" t="s">
        <v>56</v>
      </c>
      <c r="G179" s="42" t="s">
        <v>45</v>
      </c>
      <c r="H179" s="43"/>
      <c r="I179" s="39"/>
      <c r="J179" s="39"/>
      <c r="K179" s="39"/>
      <c r="L179" s="39"/>
      <c r="M179" s="39"/>
      <c r="N179" s="39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5.75" customHeight="1" x14ac:dyDescent="0.2">
      <c r="A180" s="39"/>
      <c r="B180" s="39"/>
      <c r="C180" s="39"/>
      <c r="D180" s="39"/>
      <c r="E180" s="39"/>
      <c r="F180" s="42" t="s">
        <v>55</v>
      </c>
      <c r="G180" s="42" t="s">
        <v>51</v>
      </c>
      <c r="H180" s="43">
        <v>7.15</v>
      </c>
      <c r="I180" s="39"/>
      <c r="J180" s="39"/>
      <c r="K180" s="39"/>
      <c r="L180" s="39"/>
      <c r="M180" s="39"/>
      <c r="N180" s="39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5.75" customHeight="1" x14ac:dyDescent="0.2">
      <c r="A181" s="39"/>
      <c r="B181" s="39"/>
      <c r="C181" s="39"/>
      <c r="D181" s="39"/>
      <c r="E181" s="39"/>
      <c r="F181" s="42" t="s">
        <v>55</v>
      </c>
      <c r="G181" s="42" t="s">
        <v>50</v>
      </c>
      <c r="H181" s="43">
        <v>7.15</v>
      </c>
      <c r="I181" s="39"/>
      <c r="J181" s="39"/>
      <c r="K181" s="39"/>
      <c r="L181" s="39"/>
      <c r="M181" s="39"/>
      <c r="N181" s="39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5.75" customHeight="1" x14ac:dyDescent="0.2">
      <c r="A182" s="39"/>
      <c r="B182" s="39"/>
      <c r="C182" s="39"/>
      <c r="D182" s="39"/>
      <c r="E182" s="39"/>
      <c r="F182" s="42" t="s">
        <v>55</v>
      </c>
      <c r="G182" s="42" t="s">
        <v>49</v>
      </c>
      <c r="H182" s="43"/>
      <c r="I182" s="39"/>
      <c r="J182" s="39"/>
      <c r="K182" s="39"/>
      <c r="L182" s="39"/>
      <c r="M182" s="39"/>
      <c r="N182" s="39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5.75" customHeight="1" x14ac:dyDescent="0.2">
      <c r="A183" s="39"/>
      <c r="B183" s="39"/>
      <c r="C183" s="39"/>
      <c r="D183" s="39"/>
      <c r="E183" s="39"/>
      <c r="F183" s="42" t="s">
        <v>55</v>
      </c>
      <c r="G183" s="42" t="s">
        <v>48</v>
      </c>
      <c r="H183" s="43"/>
      <c r="I183" s="39"/>
      <c r="J183" s="39"/>
      <c r="K183" s="39"/>
      <c r="L183" s="39"/>
      <c r="M183" s="39"/>
      <c r="N183" s="39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5.75" customHeight="1" x14ac:dyDescent="0.2">
      <c r="A184" s="39"/>
      <c r="B184" s="39"/>
      <c r="C184" s="39"/>
      <c r="D184" s="39"/>
      <c r="E184" s="39"/>
      <c r="F184" s="42" t="s">
        <v>55</v>
      </c>
      <c r="G184" s="42" t="s">
        <v>47</v>
      </c>
      <c r="H184" s="43"/>
      <c r="I184" s="39"/>
      <c r="J184" s="39"/>
      <c r="K184" s="39"/>
      <c r="L184" s="39"/>
      <c r="M184" s="39"/>
      <c r="N184" s="39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5.75" customHeight="1" x14ac:dyDescent="0.2">
      <c r="A185" s="39"/>
      <c r="B185" s="39"/>
      <c r="C185" s="39"/>
      <c r="D185" s="39"/>
      <c r="E185" s="39"/>
      <c r="F185" s="42" t="s">
        <v>55</v>
      </c>
      <c r="G185" s="42" t="s">
        <v>45</v>
      </c>
      <c r="H185" s="43"/>
      <c r="I185" s="39"/>
      <c r="J185" s="39"/>
      <c r="K185" s="39"/>
      <c r="L185" s="39"/>
      <c r="M185" s="39"/>
      <c r="N185" s="39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5.75" customHeight="1" x14ac:dyDescent="0.2">
      <c r="A186" s="39"/>
      <c r="B186" s="39"/>
      <c r="C186" s="39"/>
      <c r="D186" s="39"/>
      <c r="E186" s="39"/>
      <c r="F186" s="42" t="s">
        <v>40</v>
      </c>
      <c r="G186" s="42" t="s">
        <v>51</v>
      </c>
      <c r="H186" s="43">
        <v>4.0999999999999996</v>
      </c>
      <c r="I186" s="39"/>
      <c r="J186" s="39"/>
      <c r="K186" s="39"/>
      <c r="L186" s="39"/>
      <c r="M186" s="39"/>
      <c r="N186" s="39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5.75" customHeight="1" x14ac:dyDescent="0.2">
      <c r="A187" s="39"/>
      <c r="B187" s="39"/>
      <c r="C187" s="39"/>
      <c r="D187" s="39"/>
      <c r="E187" s="39"/>
      <c r="F187" s="42" t="s">
        <v>40</v>
      </c>
      <c r="G187" s="42" t="s">
        <v>50</v>
      </c>
      <c r="H187" s="43"/>
      <c r="I187" s="39"/>
      <c r="J187" s="39"/>
      <c r="K187" s="39"/>
      <c r="L187" s="39"/>
      <c r="M187" s="39"/>
      <c r="N187" s="39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5.75" customHeight="1" x14ac:dyDescent="0.2">
      <c r="A188" s="39"/>
      <c r="B188" s="39"/>
      <c r="C188" s="39"/>
      <c r="D188" s="39"/>
      <c r="E188" s="39"/>
      <c r="F188" s="42" t="s">
        <v>40</v>
      </c>
      <c r="G188" s="42" t="s">
        <v>49</v>
      </c>
      <c r="H188" s="43"/>
      <c r="I188" s="39"/>
      <c r="J188" s="39"/>
      <c r="K188" s="39"/>
      <c r="L188" s="39"/>
      <c r="M188" s="39"/>
      <c r="N188" s="39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5.75" customHeight="1" x14ac:dyDescent="0.2">
      <c r="A189" s="39"/>
      <c r="B189" s="39"/>
      <c r="C189" s="39"/>
      <c r="D189" s="39"/>
      <c r="E189" s="39"/>
      <c r="F189" s="42" t="s">
        <v>40</v>
      </c>
      <c r="G189" s="42" t="s">
        <v>48</v>
      </c>
      <c r="H189" s="43"/>
      <c r="I189" s="39"/>
      <c r="J189" s="39"/>
      <c r="K189" s="39"/>
      <c r="L189" s="39"/>
      <c r="M189" s="39"/>
      <c r="N189" s="39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5.75" customHeight="1" x14ac:dyDescent="0.2">
      <c r="A190" s="39"/>
      <c r="B190" s="39"/>
      <c r="C190" s="39"/>
      <c r="D190" s="39"/>
      <c r="E190" s="39"/>
      <c r="F190" s="42" t="s">
        <v>40</v>
      </c>
      <c r="G190" s="42" t="s">
        <v>47</v>
      </c>
      <c r="H190" s="43">
        <v>4.6900000000000004</v>
      </c>
      <c r="I190" s="39"/>
      <c r="J190" s="39"/>
      <c r="K190" s="39"/>
      <c r="L190" s="39"/>
      <c r="M190" s="39"/>
      <c r="N190" s="39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5.75" customHeight="1" x14ac:dyDescent="0.2">
      <c r="A191" s="39"/>
      <c r="B191" s="39"/>
      <c r="C191" s="39"/>
      <c r="D191" s="39"/>
      <c r="E191" s="39"/>
      <c r="F191" s="45" t="s">
        <v>40</v>
      </c>
      <c r="G191" s="45" t="s">
        <v>45</v>
      </c>
      <c r="H191" s="48"/>
      <c r="I191" s="39"/>
      <c r="J191" s="39"/>
      <c r="K191" s="39"/>
      <c r="L191" s="39"/>
      <c r="M191" s="39"/>
      <c r="N191" s="39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5.75" customHeight="1" x14ac:dyDescent="0.2">
      <c r="A192" s="39"/>
      <c r="B192" s="39"/>
      <c r="C192" s="39"/>
      <c r="D192" s="39"/>
      <c r="E192" s="39"/>
      <c r="F192" s="42" t="s">
        <v>54</v>
      </c>
      <c r="G192" s="42" t="s">
        <v>51</v>
      </c>
      <c r="H192" s="42"/>
      <c r="I192" s="39"/>
      <c r="J192" s="39"/>
      <c r="K192" s="39"/>
      <c r="L192" s="39"/>
      <c r="M192" s="39"/>
      <c r="N192" s="39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5.75" customHeight="1" x14ac:dyDescent="0.2">
      <c r="A193" s="39"/>
      <c r="B193" s="39"/>
      <c r="C193" s="39"/>
      <c r="D193" s="39"/>
      <c r="E193" s="39"/>
      <c r="F193" s="42" t="s">
        <v>54</v>
      </c>
      <c r="G193" s="42" t="s">
        <v>50</v>
      </c>
      <c r="H193" s="42"/>
      <c r="I193" s="39"/>
      <c r="J193" s="39"/>
      <c r="K193" s="39"/>
      <c r="L193" s="39"/>
      <c r="M193" s="39"/>
      <c r="N193" s="39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5.75" customHeight="1" x14ac:dyDescent="0.2">
      <c r="A194" s="39"/>
      <c r="B194" s="39"/>
      <c r="C194" s="39"/>
      <c r="D194" s="39"/>
      <c r="E194" s="39"/>
      <c r="F194" s="42" t="s">
        <v>54</v>
      </c>
      <c r="G194" s="42" t="s">
        <v>49</v>
      </c>
      <c r="H194" s="42"/>
      <c r="I194" s="39"/>
      <c r="J194" s="39"/>
      <c r="K194" s="39"/>
      <c r="L194" s="39"/>
      <c r="M194" s="39"/>
      <c r="N194" s="39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5.75" customHeight="1" x14ac:dyDescent="0.2">
      <c r="A195" s="39"/>
      <c r="B195" s="39"/>
      <c r="C195" s="39"/>
      <c r="D195" s="39"/>
      <c r="E195" s="39"/>
      <c r="F195" s="42" t="s">
        <v>54</v>
      </c>
      <c r="G195" s="42" t="s">
        <v>48</v>
      </c>
      <c r="H195" s="42"/>
      <c r="I195" s="39"/>
      <c r="J195" s="39"/>
      <c r="K195" s="39"/>
      <c r="L195" s="39"/>
      <c r="M195" s="39"/>
      <c r="N195" s="39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5.75" customHeight="1" x14ac:dyDescent="0.2">
      <c r="A196" s="39"/>
      <c r="B196" s="39"/>
      <c r="C196" s="39"/>
      <c r="D196" s="39"/>
      <c r="E196" s="39"/>
      <c r="F196" s="42" t="s">
        <v>54</v>
      </c>
      <c r="G196" s="42" t="s">
        <v>47</v>
      </c>
      <c r="H196" s="42"/>
      <c r="I196" s="39"/>
      <c r="J196" s="39"/>
      <c r="K196" s="39"/>
      <c r="L196" s="39"/>
      <c r="M196" s="39"/>
      <c r="N196" s="39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5.75" customHeight="1" x14ac:dyDescent="0.2">
      <c r="A197" s="39"/>
      <c r="B197" s="39"/>
      <c r="C197" s="39"/>
      <c r="D197" s="39"/>
      <c r="E197" s="39"/>
      <c r="F197" s="42" t="s">
        <v>54</v>
      </c>
      <c r="G197" s="42" t="s">
        <v>45</v>
      </c>
      <c r="H197" s="42"/>
      <c r="I197" s="39"/>
      <c r="J197" s="39"/>
      <c r="K197" s="39"/>
      <c r="L197" s="39"/>
      <c r="M197" s="39"/>
      <c r="N197" s="39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5.75" customHeight="1" x14ac:dyDescent="0.2">
      <c r="A198" s="39"/>
      <c r="B198" s="39"/>
      <c r="C198" s="39"/>
      <c r="D198" s="39"/>
      <c r="E198" s="39"/>
      <c r="F198" s="49" t="s">
        <v>53</v>
      </c>
      <c r="G198" s="42" t="s">
        <v>51</v>
      </c>
      <c r="H198" s="42"/>
      <c r="I198" s="39"/>
      <c r="J198" s="39"/>
      <c r="K198" s="39"/>
      <c r="L198" s="39"/>
      <c r="M198" s="39"/>
      <c r="N198" s="39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5.75" customHeight="1" x14ac:dyDescent="0.2">
      <c r="A199" s="39"/>
      <c r="B199" s="39"/>
      <c r="C199" s="39"/>
      <c r="D199" s="39"/>
      <c r="E199" s="39"/>
      <c r="F199" s="49" t="s">
        <v>53</v>
      </c>
      <c r="G199" s="42" t="s">
        <v>50</v>
      </c>
      <c r="H199" s="42"/>
      <c r="I199" s="39"/>
      <c r="J199" s="39"/>
      <c r="K199" s="39"/>
      <c r="L199" s="39"/>
      <c r="M199" s="39"/>
      <c r="N199" s="39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5.75" customHeight="1" x14ac:dyDescent="0.2">
      <c r="A200" s="39"/>
      <c r="B200" s="39"/>
      <c r="C200" s="39"/>
      <c r="D200" s="39"/>
      <c r="E200" s="39"/>
      <c r="F200" s="49" t="s">
        <v>53</v>
      </c>
      <c r="G200" s="42" t="s">
        <v>49</v>
      </c>
      <c r="H200" s="42"/>
      <c r="I200" s="39"/>
      <c r="J200" s="39"/>
      <c r="K200" s="39"/>
      <c r="L200" s="39"/>
      <c r="M200" s="39"/>
      <c r="N200" s="39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5.75" customHeight="1" x14ac:dyDescent="0.2">
      <c r="A201" s="39"/>
      <c r="B201" s="39"/>
      <c r="C201" s="39"/>
      <c r="D201" s="39"/>
      <c r="E201" s="39"/>
      <c r="F201" s="49" t="s">
        <v>53</v>
      </c>
      <c r="G201" s="42" t="s">
        <v>48</v>
      </c>
      <c r="H201" s="42"/>
      <c r="I201" s="39"/>
      <c r="J201" s="39"/>
      <c r="K201" s="39"/>
      <c r="L201" s="39"/>
      <c r="M201" s="39"/>
      <c r="N201" s="39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5.75" customHeight="1" x14ac:dyDescent="0.2">
      <c r="A202" s="39"/>
      <c r="B202" s="39"/>
      <c r="C202" s="39"/>
      <c r="D202" s="39"/>
      <c r="E202" s="39"/>
      <c r="F202" s="49" t="s">
        <v>53</v>
      </c>
      <c r="G202" s="42" t="s">
        <v>47</v>
      </c>
      <c r="H202" s="42"/>
      <c r="I202" s="39"/>
      <c r="J202" s="39"/>
      <c r="K202" s="39"/>
      <c r="L202" s="39"/>
      <c r="M202" s="39"/>
      <c r="N202" s="39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5.75" customHeight="1" x14ac:dyDescent="0.2">
      <c r="A203" s="39"/>
      <c r="B203" s="39"/>
      <c r="C203" s="39"/>
      <c r="D203" s="39"/>
      <c r="E203" s="39"/>
      <c r="F203" s="49" t="s">
        <v>53</v>
      </c>
      <c r="G203" s="42" t="s">
        <v>45</v>
      </c>
      <c r="H203" s="42"/>
      <c r="I203" s="39"/>
      <c r="J203" s="39"/>
      <c r="K203" s="39"/>
      <c r="L203" s="39"/>
      <c r="M203" s="39"/>
      <c r="N203" s="39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5.75" customHeight="1" x14ac:dyDescent="0.2">
      <c r="A204" s="39"/>
      <c r="B204" s="39"/>
      <c r="C204" s="39"/>
      <c r="D204" s="39"/>
      <c r="E204" s="39"/>
      <c r="F204" s="49" t="s">
        <v>52</v>
      </c>
      <c r="G204" s="42" t="s">
        <v>51</v>
      </c>
      <c r="H204" s="42"/>
      <c r="I204" s="39"/>
      <c r="J204" s="39"/>
      <c r="K204" s="39"/>
      <c r="L204" s="39"/>
      <c r="M204" s="39"/>
      <c r="N204" s="39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5.75" customHeight="1" x14ac:dyDescent="0.2">
      <c r="A205" s="39"/>
      <c r="B205" s="39"/>
      <c r="C205" s="39"/>
      <c r="D205" s="39"/>
      <c r="E205" s="39"/>
      <c r="F205" s="49" t="s">
        <v>52</v>
      </c>
      <c r="G205" s="42" t="s">
        <v>50</v>
      </c>
      <c r="H205" s="42"/>
      <c r="I205" s="39"/>
      <c r="J205" s="39"/>
      <c r="K205" s="39"/>
      <c r="L205" s="39"/>
      <c r="M205" s="39"/>
      <c r="N205" s="39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5.75" customHeight="1" x14ac:dyDescent="0.2">
      <c r="A206" s="39"/>
      <c r="B206" s="39"/>
      <c r="C206" s="39"/>
      <c r="D206" s="39"/>
      <c r="E206" s="39"/>
      <c r="F206" s="49" t="s">
        <v>52</v>
      </c>
      <c r="G206" s="42" t="s">
        <v>49</v>
      </c>
      <c r="H206" s="42"/>
      <c r="I206" s="39"/>
      <c r="J206" s="39"/>
      <c r="K206" s="39"/>
      <c r="L206" s="39"/>
      <c r="M206" s="39"/>
      <c r="N206" s="39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5.75" customHeight="1" x14ac:dyDescent="0.2">
      <c r="A207" s="39"/>
      <c r="B207" s="39"/>
      <c r="C207" s="39"/>
      <c r="D207" s="39"/>
      <c r="E207" s="39"/>
      <c r="F207" s="49" t="s">
        <v>52</v>
      </c>
      <c r="G207" s="42" t="s">
        <v>48</v>
      </c>
      <c r="H207" s="42"/>
      <c r="I207" s="39"/>
      <c r="J207" s="39"/>
      <c r="K207" s="39"/>
      <c r="L207" s="39"/>
      <c r="M207" s="39"/>
      <c r="N207" s="39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5.75" customHeight="1" x14ac:dyDescent="0.2">
      <c r="A208" s="39"/>
      <c r="B208" s="39"/>
      <c r="C208" s="39"/>
      <c r="D208" s="39"/>
      <c r="E208" s="39"/>
      <c r="F208" s="49" t="s">
        <v>52</v>
      </c>
      <c r="G208" s="42" t="s">
        <v>47</v>
      </c>
      <c r="H208" s="42"/>
      <c r="I208" s="39"/>
      <c r="J208" s="39"/>
      <c r="K208" s="39"/>
      <c r="L208" s="39"/>
      <c r="M208" s="39"/>
      <c r="N208" s="39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5.75" customHeight="1" x14ac:dyDescent="0.2">
      <c r="A209" s="39"/>
      <c r="B209" s="39"/>
      <c r="C209" s="39"/>
      <c r="D209" s="39"/>
      <c r="E209" s="39"/>
      <c r="F209" s="49" t="s">
        <v>52</v>
      </c>
      <c r="G209" s="42" t="s">
        <v>45</v>
      </c>
      <c r="H209" s="42"/>
      <c r="I209" s="39"/>
      <c r="J209" s="39"/>
      <c r="K209" s="39"/>
      <c r="L209" s="39"/>
      <c r="M209" s="39"/>
      <c r="N209" s="39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5.75" customHeight="1" x14ac:dyDescent="0.2">
      <c r="A210" s="39"/>
      <c r="B210" s="39"/>
      <c r="C210" s="39"/>
      <c r="D210" s="39"/>
      <c r="E210" s="39"/>
      <c r="F210" s="49" t="s">
        <v>46</v>
      </c>
      <c r="G210" s="42" t="s">
        <v>51</v>
      </c>
      <c r="H210" s="42"/>
      <c r="I210" s="39"/>
      <c r="J210" s="39"/>
      <c r="K210" s="39"/>
      <c r="L210" s="39"/>
      <c r="M210" s="39"/>
      <c r="N210" s="39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5.75" customHeight="1" x14ac:dyDescent="0.2">
      <c r="A211" s="39"/>
      <c r="B211" s="39"/>
      <c r="C211" s="39"/>
      <c r="D211" s="39"/>
      <c r="E211" s="39"/>
      <c r="F211" s="49" t="s">
        <v>46</v>
      </c>
      <c r="G211" s="42" t="s">
        <v>50</v>
      </c>
      <c r="H211" s="42"/>
      <c r="I211" s="39"/>
      <c r="J211" s="39"/>
      <c r="K211" s="39"/>
      <c r="L211" s="39"/>
      <c r="M211" s="39"/>
      <c r="N211" s="39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5.75" customHeight="1" x14ac:dyDescent="0.2">
      <c r="A212" s="39"/>
      <c r="B212" s="39"/>
      <c r="C212" s="39"/>
      <c r="D212" s="39"/>
      <c r="E212" s="39"/>
      <c r="F212" s="49" t="s">
        <v>46</v>
      </c>
      <c r="G212" s="42" t="s">
        <v>49</v>
      </c>
      <c r="H212" s="42"/>
      <c r="I212" s="39"/>
      <c r="J212" s="39"/>
      <c r="K212" s="39"/>
      <c r="L212" s="39"/>
      <c r="M212" s="39"/>
      <c r="N212" s="39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5.75" customHeight="1" x14ac:dyDescent="0.2">
      <c r="A213" s="39"/>
      <c r="B213" s="39"/>
      <c r="C213" s="39"/>
      <c r="D213" s="39"/>
      <c r="E213" s="39"/>
      <c r="F213" s="49" t="s">
        <v>46</v>
      </c>
      <c r="G213" s="42" t="s">
        <v>48</v>
      </c>
      <c r="H213" s="42"/>
      <c r="I213" s="39"/>
      <c r="J213" s="39"/>
      <c r="K213" s="39"/>
      <c r="L213" s="39"/>
      <c r="M213" s="39"/>
      <c r="N213" s="39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5.75" customHeight="1" x14ac:dyDescent="0.2">
      <c r="A214" s="39"/>
      <c r="B214" s="39"/>
      <c r="C214" s="39"/>
      <c r="D214" s="39"/>
      <c r="E214" s="39"/>
      <c r="F214" s="49" t="s">
        <v>46</v>
      </c>
      <c r="G214" s="42" t="s">
        <v>47</v>
      </c>
      <c r="H214" s="42"/>
      <c r="I214" s="39"/>
      <c r="J214" s="39"/>
      <c r="K214" s="39"/>
      <c r="L214" s="39"/>
      <c r="M214" s="39"/>
      <c r="N214" s="39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5.75" customHeight="1" x14ac:dyDescent="0.2">
      <c r="A215" s="39"/>
      <c r="B215" s="39"/>
      <c r="C215" s="39"/>
      <c r="D215" s="39"/>
      <c r="E215" s="39"/>
      <c r="F215" s="49" t="s">
        <v>46</v>
      </c>
      <c r="G215" s="42" t="s">
        <v>45</v>
      </c>
      <c r="H215" s="42"/>
      <c r="I215" s="39"/>
      <c r="J215" s="39"/>
      <c r="K215" s="39"/>
      <c r="L215" s="39"/>
      <c r="M215" s="39"/>
      <c r="N215" s="39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5.75" customHeight="1" x14ac:dyDescent="0.2">
      <c r="A216" s="39"/>
      <c r="B216" s="39"/>
      <c r="C216" s="39"/>
      <c r="D216" s="39"/>
      <c r="E216" s="39"/>
      <c r="F216" s="42" t="s">
        <v>330</v>
      </c>
      <c r="G216" s="42" t="s">
        <v>51</v>
      </c>
      <c r="H216" s="42"/>
      <c r="I216" s="39"/>
      <c r="J216" s="39"/>
      <c r="K216" s="39"/>
      <c r="L216" s="39"/>
      <c r="M216" s="39"/>
      <c r="N216" s="39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5.75" customHeight="1" x14ac:dyDescent="0.2">
      <c r="A217" s="39"/>
      <c r="B217" s="39"/>
      <c r="C217" s="39"/>
      <c r="D217" s="39"/>
      <c r="E217" s="39"/>
      <c r="F217" s="42" t="s">
        <v>330</v>
      </c>
      <c r="G217" s="42" t="s">
        <v>50</v>
      </c>
      <c r="H217" s="42"/>
      <c r="I217" s="39"/>
      <c r="J217" s="39"/>
      <c r="K217" s="39"/>
      <c r="L217" s="39"/>
      <c r="M217" s="39"/>
      <c r="N217" s="39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5.75" customHeight="1" x14ac:dyDescent="0.2">
      <c r="A218" s="39"/>
      <c r="B218" s="39"/>
      <c r="C218" s="39"/>
      <c r="D218" s="39"/>
      <c r="E218" s="39"/>
      <c r="F218" s="42" t="s">
        <v>330</v>
      </c>
      <c r="G218" s="42" t="s">
        <v>49</v>
      </c>
      <c r="H218" s="42"/>
      <c r="I218" s="39"/>
      <c r="J218" s="39"/>
      <c r="K218" s="39"/>
      <c r="L218" s="39"/>
      <c r="M218" s="39"/>
      <c r="N218" s="39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5.75" customHeight="1" x14ac:dyDescent="0.2">
      <c r="A219" s="39"/>
      <c r="B219" s="39"/>
      <c r="C219" s="39"/>
      <c r="D219" s="39"/>
      <c r="E219" s="39"/>
      <c r="F219" s="42" t="s">
        <v>330</v>
      </c>
      <c r="G219" s="42" t="s">
        <v>48</v>
      </c>
      <c r="H219" s="42"/>
      <c r="I219" s="39"/>
      <c r="J219" s="39"/>
      <c r="K219" s="39"/>
      <c r="L219" s="39"/>
      <c r="M219" s="39"/>
      <c r="N219" s="39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5.75" customHeight="1" x14ac:dyDescent="0.2">
      <c r="A220" s="39"/>
      <c r="B220" s="39"/>
      <c r="C220" s="39"/>
      <c r="D220" s="39"/>
      <c r="E220" s="39"/>
      <c r="F220" s="42" t="s">
        <v>330</v>
      </c>
      <c r="G220" s="42" t="s">
        <v>47</v>
      </c>
      <c r="H220" s="42"/>
      <c r="I220" s="39"/>
      <c r="J220" s="39"/>
      <c r="K220" s="39"/>
      <c r="L220" s="39"/>
      <c r="M220" s="39"/>
      <c r="N220" s="39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5.75" customHeight="1" x14ac:dyDescent="0.2">
      <c r="A221" s="39"/>
      <c r="B221" s="39"/>
      <c r="C221" s="39"/>
      <c r="D221" s="39"/>
      <c r="E221" s="39"/>
      <c r="F221" s="42" t="s">
        <v>330</v>
      </c>
      <c r="G221" s="42" t="s">
        <v>45</v>
      </c>
      <c r="H221" s="42"/>
      <c r="I221" s="39"/>
      <c r="J221" s="39"/>
      <c r="K221" s="39"/>
      <c r="L221" s="39"/>
      <c r="M221" s="39"/>
      <c r="N221" s="39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5.75" customHeight="1" x14ac:dyDescent="0.2">
      <c r="A222" s="39"/>
      <c r="B222" s="39"/>
      <c r="C222" s="39"/>
      <c r="D222" s="39"/>
      <c r="E222" s="39"/>
      <c r="F222" s="42" t="s">
        <v>66</v>
      </c>
      <c r="G222" s="42" t="s">
        <v>51</v>
      </c>
      <c r="H222" s="43"/>
      <c r="I222" s="39"/>
      <c r="J222" s="39"/>
      <c r="K222" s="39"/>
      <c r="L222" s="39"/>
      <c r="M222" s="39"/>
      <c r="N222" s="39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5.75" customHeight="1" x14ac:dyDescent="0.2">
      <c r="A223" s="39"/>
      <c r="B223" s="39"/>
      <c r="C223" s="39"/>
      <c r="D223" s="39"/>
      <c r="E223" s="39"/>
      <c r="F223" s="42" t="s">
        <v>66</v>
      </c>
      <c r="G223" s="42" t="s">
        <v>50</v>
      </c>
      <c r="H223" s="43"/>
      <c r="I223" s="39"/>
      <c r="J223" s="39"/>
      <c r="K223" s="39"/>
      <c r="L223" s="39"/>
      <c r="M223" s="39"/>
      <c r="N223" s="39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5.75" customHeight="1" x14ac:dyDescent="0.2">
      <c r="A224" s="39"/>
      <c r="B224" s="39"/>
      <c r="C224" s="39"/>
      <c r="D224" s="39"/>
      <c r="E224" s="39"/>
      <c r="F224" s="42" t="s">
        <v>66</v>
      </c>
      <c r="G224" s="42" t="s">
        <v>49</v>
      </c>
      <c r="H224" s="43"/>
      <c r="I224" s="39"/>
      <c r="J224" s="39"/>
      <c r="K224" s="39"/>
      <c r="L224" s="39"/>
      <c r="M224" s="39"/>
      <c r="N224" s="39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5.75" customHeight="1" x14ac:dyDescent="0.2">
      <c r="A225" s="39"/>
      <c r="B225" s="39"/>
      <c r="C225" s="39"/>
      <c r="D225" s="39"/>
      <c r="E225" s="39"/>
      <c r="F225" s="42" t="s">
        <v>66</v>
      </c>
      <c r="G225" s="42" t="s">
        <v>48</v>
      </c>
      <c r="H225" s="43"/>
      <c r="I225" s="39"/>
      <c r="J225" s="39"/>
      <c r="K225" s="39"/>
      <c r="L225" s="39"/>
      <c r="M225" s="39"/>
      <c r="N225" s="39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5.75" customHeight="1" x14ac:dyDescent="0.2">
      <c r="A226" s="39"/>
      <c r="B226" s="39"/>
      <c r="C226" s="39"/>
      <c r="D226" s="39"/>
      <c r="E226" s="39"/>
      <c r="F226" s="42" t="s">
        <v>66</v>
      </c>
      <c r="G226" s="42" t="s">
        <v>47</v>
      </c>
      <c r="H226" s="43"/>
      <c r="I226" s="39"/>
      <c r="J226" s="39"/>
      <c r="K226" s="39"/>
      <c r="L226" s="39"/>
      <c r="M226" s="39"/>
      <c r="N226" s="39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5.75" customHeight="1" x14ac:dyDescent="0.2">
      <c r="A227" s="39"/>
      <c r="B227" s="39"/>
      <c r="C227" s="39"/>
      <c r="D227" s="39"/>
      <c r="E227" s="39"/>
      <c r="F227" s="42" t="s">
        <v>66</v>
      </c>
      <c r="G227" s="42" t="s">
        <v>45</v>
      </c>
      <c r="H227" s="43"/>
      <c r="I227" s="39"/>
      <c r="J227" s="39"/>
      <c r="K227" s="39"/>
      <c r="L227" s="39"/>
      <c r="M227" s="39"/>
      <c r="N227" s="39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5.75" customHeight="1" x14ac:dyDescent="0.2">
      <c r="A228" s="39"/>
      <c r="B228" s="39"/>
      <c r="C228" s="39"/>
      <c r="D228" s="39"/>
      <c r="E228" s="39"/>
      <c r="F228" s="42" t="s">
        <v>326</v>
      </c>
      <c r="G228" s="42" t="s">
        <v>51</v>
      </c>
      <c r="H228" s="43"/>
      <c r="I228" s="39"/>
      <c r="J228" s="39"/>
      <c r="K228" s="39"/>
      <c r="L228" s="39"/>
      <c r="M228" s="39"/>
      <c r="N228" s="39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5.75" customHeight="1" x14ac:dyDescent="0.2">
      <c r="A229" s="39"/>
      <c r="B229" s="39"/>
      <c r="C229" s="39"/>
      <c r="D229" s="39"/>
      <c r="E229" s="39"/>
      <c r="F229" s="42" t="s">
        <v>326</v>
      </c>
      <c r="G229" s="42" t="s">
        <v>50</v>
      </c>
      <c r="H229" s="43"/>
      <c r="I229" s="39"/>
      <c r="J229" s="39"/>
      <c r="K229" s="39"/>
      <c r="L229" s="39"/>
      <c r="M229" s="39"/>
      <c r="N229" s="39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5.75" customHeight="1" x14ac:dyDescent="0.2">
      <c r="A230" s="39"/>
      <c r="B230" s="39"/>
      <c r="C230" s="39"/>
      <c r="D230" s="39"/>
      <c r="E230" s="39"/>
      <c r="F230" s="42" t="s">
        <v>326</v>
      </c>
      <c r="G230" s="42" t="s">
        <v>49</v>
      </c>
      <c r="H230" s="43"/>
      <c r="I230" s="39"/>
      <c r="J230" s="39"/>
      <c r="K230" s="39"/>
      <c r="L230" s="39"/>
      <c r="M230" s="39"/>
      <c r="N230" s="39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5.75" customHeight="1" x14ac:dyDescent="0.2">
      <c r="A231" s="39"/>
      <c r="B231" s="39"/>
      <c r="C231" s="39"/>
      <c r="D231" s="39"/>
      <c r="E231" s="39"/>
      <c r="F231" s="42" t="s">
        <v>326</v>
      </c>
      <c r="G231" s="42" t="s">
        <v>48</v>
      </c>
      <c r="H231" s="43"/>
      <c r="I231" s="39"/>
      <c r="J231" s="39"/>
      <c r="K231" s="39"/>
      <c r="L231" s="39"/>
      <c r="M231" s="39"/>
      <c r="N231" s="39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5.75" customHeight="1" x14ac:dyDescent="0.2">
      <c r="A232" s="39"/>
      <c r="B232" s="39"/>
      <c r="C232" s="39"/>
      <c r="D232" s="39"/>
      <c r="E232" s="39"/>
      <c r="F232" s="42" t="s">
        <v>326</v>
      </c>
      <c r="G232" s="42" t="s">
        <v>47</v>
      </c>
      <c r="H232" s="43"/>
      <c r="I232" s="39"/>
      <c r="J232" s="39"/>
      <c r="K232" s="39"/>
      <c r="L232" s="39"/>
      <c r="M232" s="39"/>
      <c r="N232" s="39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5.75" customHeight="1" x14ac:dyDescent="0.2">
      <c r="A233" s="39"/>
      <c r="B233" s="39"/>
      <c r="C233" s="39"/>
      <c r="D233" s="39"/>
      <c r="E233" s="39"/>
      <c r="F233" s="42" t="s">
        <v>326</v>
      </c>
      <c r="G233" s="42" t="s">
        <v>45</v>
      </c>
      <c r="H233" s="43"/>
      <c r="I233" s="39"/>
      <c r="J233" s="39"/>
      <c r="K233" s="39"/>
      <c r="L233" s="39"/>
      <c r="M233" s="39"/>
      <c r="N233" s="39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5.75" customHeight="1" x14ac:dyDescent="0.2">
      <c r="A234" s="39"/>
      <c r="B234" s="39"/>
      <c r="C234" s="39"/>
      <c r="D234" s="39"/>
      <c r="E234" s="39"/>
      <c r="F234" s="42" t="s">
        <v>328</v>
      </c>
      <c r="G234" s="42" t="s">
        <v>51</v>
      </c>
      <c r="H234" s="43"/>
      <c r="I234" s="39"/>
      <c r="J234" s="39"/>
      <c r="K234" s="39"/>
      <c r="L234" s="39"/>
      <c r="M234" s="39"/>
      <c r="N234" s="39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5.75" customHeight="1" x14ac:dyDescent="0.2">
      <c r="A235" s="39"/>
      <c r="B235" s="39"/>
      <c r="C235" s="39"/>
      <c r="D235" s="39"/>
      <c r="E235" s="39"/>
      <c r="F235" s="42" t="s">
        <v>328</v>
      </c>
      <c r="G235" s="42" t="s">
        <v>50</v>
      </c>
      <c r="H235" s="43"/>
      <c r="I235" s="39"/>
      <c r="J235" s="39"/>
      <c r="K235" s="39"/>
      <c r="L235" s="39"/>
      <c r="M235" s="39"/>
      <c r="N235" s="39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5.75" customHeight="1" x14ac:dyDescent="0.2">
      <c r="A236" s="39"/>
      <c r="B236" s="39"/>
      <c r="C236" s="39"/>
      <c r="D236" s="39"/>
      <c r="E236" s="39"/>
      <c r="F236" s="42" t="s">
        <v>328</v>
      </c>
      <c r="G236" s="42" t="s">
        <v>49</v>
      </c>
      <c r="H236" s="43"/>
      <c r="I236" s="39"/>
      <c r="J236" s="39"/>
      <c r="K236" s="39"/>
      <c r="L236" s="39"/>
      <c r="M236" s="39"/>
      <c r="N236" s="39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5.75" customHeight="1" x14ac:dyDescent="0.2">
      <c r="A237" s="39"/>
      <c r="B237" s="39"/>
      <c r="C237" s="39"/>
      <c r="D237" s="39"/>
      <c r="E237" s="39"/>
      <c r="F237" s="42" t="s">
        <v>328</v>
      </c>
      <c r="G237" s="42" t="s">
        <v>48</v>
      </c>
      <c r="H237" s="43"/>
      <c r="I237" s="39"/>
      <c r="J237" s="39"/>
      <c r="K237" s="39"/>
      <c r="L237" s="39"/>
      <c r="M237" s="39"/>
      <c r="N237" s="39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5.75" customHeight="1" x14ac:dyDescent="0.2">
      <c r="A238" s="39"/>
      <c r="B238" s="39"/>
      <c r="C238" s="39"/>
      <c r="D238" s="39"/>
      <c r="E238" s="39"/>
      <c r="F238" s="42" t="s">
        <v>328</v>
      </c>
      <c r="G238" s="42" t="s">
        <v>47</v>
      </c>
      <c r="H238" s="43"/>
      <c r="I238" s="39"/>
      <c r="J238" s="39"/>
      <c r="K238" s="39"/>
      <c r="L238" s="39"/>
      <c r="M238" s="39"/>
      <c r="N238" s="39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5.75" customHeight="1" x14ac:dyDescent="0.2">
      <c r="A239" s="39"/>
      <c r="B239" s="39"/>
      <c r="C239" s="39"/>
      <c r="D239" s="39"/>
      <c r="E239" s="39"/>
      <c r="F239" s="42" t="s">
        <v>328</v>
      </c>
      <c r="G239" s="42" t="s">
        <v>45</v>
      </c>
      <c r="H239" s="43"/>
      <c r="I239" s="39"/>
      <c r="J239" s="39"/>
      <c r="K239" s="39"/>
      <c r="L239" s="39"/>
      <c r="M239" s="39"/>
      <c r="N239" s="39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5.75" customHeight="1" x14ac:dyDescent="0.2">
      <c r="A240" s="39"/>
      <c r="B240" s="39"/>
      <c r="C240" s="39"/>
      <c r="D240" s="39"/>
      <c r="E240" s="39"/>
      <c r="F240" s="39" t="s">
        <v>357</v>
      </c>
      <c r="G240" s="42" t="s">
        <v>51</v>
      </c>
      <c r="H240" s="39">
        <v>11.05</v>
      </c>
      <c r="I240" s="39"/>
      <c r="J240" s="39"/>
      <c r="K240" s="39"/>
      <c r="L240" s="39"/>
      <c r="M240" s="39"/>
      <c r="N240" s="39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5.75" customHeight="1" x14ac:dyDescent="0.2">
      <c r="A241" s="39"/>
      <c r="B241" s="39"/>
      <c r="C241" s="39"/>
      <c r="D241" s="39"/>
      <c r="E241" s="39"/>
      <c r="F241" s="39" t="s">
        <v>353</v>
      </c>
      <c r="G241" s="42" t="s">
        <v>51</v>
      </c>
      <c r="H241" s="39">
        <v>6.48</v>
      </c>
      <c r="I241" s="39"/>
      <c r="J241" s="39"/>
      <c r="K241" s="39"/>
      <c r="L241" s="39"/>
      <c r="M241" s="39"/>
      <c r="N241" s="39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5.75" customHeight="1" x14ac:dyDescent="0.2">
      <c r="A242" s="39"/>
      <c r="B242" s="39"/>
      <c r="C242" s="39"/>
      <c r="D242" s="39"/>
      <c r="E242" s="39"/>
      <c r="F242" s="39" t="s">
        <v>353</v>
      </c>
      <c r="G242" s="42" t="s">
        <v>49</v>
      </c>
      <c r="H242" s="39">
        <v>6.74</v>
      </c>
      <c r="I242" s="39"/>
      <c r="J242" s="39"/>
      <c r="K242" s="39"/>
      <c r="L242" s="39"/>
      <c r="M242" s="39"/>
      <c r="N242" s="39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5.75" customHeight="1" x14ac:dyDescent="0.2">
      <c r="A243" s="39"/>
      <c r="B243" s="39"/>
      <c r="C243" s="39"/>
      <c r="D243" s="39"/>
      <c r="E243" s="39"/>
      <c r="F243" s="39" t="s">
        <v>354</v>
      </c>
      <c r="G243" s="42" t="s">
        <v>51</v>
      </c>
      <c r="H243" s="39">
        <v>6.24</v>
      </c>
      <c r="I243" s="39"/>
      <c r="J243" s="39"/>
      <c r="K243" s="39"/>
      <c r="L243" s="39"/>
      <c r="M243" s="39"/>
      <c r="N243" s="39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5.75" customHeight="1" x14ac:dyDescent="0.2">
      <c r="A244" s="39"/>
      <c r="B244" s="39"/>
      <c r="C244" s="39"/>
      <c r="D244" s="39"/>
      <c r="E244" s="39"/>
      <c r="F244" s="39" t="s">
        <v>354</v>
      </c>
      <c r="G244" s="42" t="s">
        <v>49</v>
      </c>
      <c r="H244" s="39">
        <v>6.48</v>
      </c>
      <c r="I244" s="39"/>
      <c r="J244" s="39"/>
      <c r="K244" s="39"/>
      <c r="L244" s="39"/>
      <c r="M244" s="39"/>
      <c r="N244" s="39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5.75" customHeight="1" x14ac:dyDescent="0.2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5.75" customHeight="1" x14ac:dyDescent="0.2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5.75" customHeight="1" x14ac:dyDescent="0.2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5.75" customHeight="1" x14ac:dyDescent="0.2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5.75" customHeight="1" x14ac:dyDescent="0.2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5.75" customHeight="1" x14ac:dyDescent="0.2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5.75" customHeight="1" x14ac:dyDescent="0.2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5.75" customHeight="1" x14ac:dyDescent="0.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5.75" customHeight="1" x14ac:dyDescent="0.2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5.75" customHeight="1" x14ac:dyDescent="0.2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5.75" customHeight="1" x14ac:dyDescent="0.2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5.75" customHeight="1" x14ac:dyDescent="0.2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5.75" customHeight="1" x14ac:dyDescent="0.2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5.75" customHeight="1" x14ac:dyDescent="0.2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5.75" customHeight="1" x14ac:dyDescent="0.2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5.75" customHeight="1" x14ac:dyDescent="0.2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5.75" customHeight="1" x14ac:dyDescent="0.2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5.75" customHeight="1" x14ac:dyDescent="0.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5.75" customHeight="1" x14ac:dyDescent="0.2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5.75" customHeight="1" x14ac:dyDescent="0.2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5.75" customHeight="1" x14ac:dyDescent="0.2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5.75" customHeight="1" x14ac:dyDescent="0.2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5.75" customHeight="1" x14ac:dyDescent="0.2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5.75" customHeight="1" x14ac:dyDescent="0.2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5.75" customHeight="1" x14ac:dyDescent="0.2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5.75" customHeight="1" x14ac:dyDescent="0.2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5.75" customHeight="1" x14ac:dyDescent="0.2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5.75" customHeight="1" x14ac:dyDescent="0.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5.75" customHeight="1" x14ac:dyDescent="0.2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5.75" customHeight="1" x14ac:dyDescent="0.2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5.75" customHeight="1" x14ac:dyDescent="0.2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5.75" customHeight="1" x14ac:dyDescent="0.2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5.75" customHeight="1" x14ac:dyDescent="0.2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5.75" customHeight="1" x14ac:dyDescent="0.2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5.75" customHeight="1" x14ac:dyDescent="0.2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5.75" customHeight="1" x14ac:dyDescent="0.2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5.75" customHeight="1" x14ac:dyDescent="0.2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5.75" customHeight="1" x14ac:dyDescent="0.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5.75" customHeight="1" x14ac:dyDescent="0.2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5.75" customHeight="1" x14ac:dyDescent="0.2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5.75" customHeight="1" x14ac:dyDescent="0.2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5.75" customHeight="1" x14ac:dyDescent="0.2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5.75" customHeight="1" x14ac:dyDescent="0.2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5.75" customHeight="1" x14ac:dyDescent="0.2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5.75" customHeight="1" x14ac:dyDescent="0.2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5.75" customHeight="1" x14ac:dyDescent="0.2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5.75" customHeight="1" x14ac:dyDescent="0.2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5.75" customHeight="1" x14ac:dyDescent="0.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5.75" customHeight="1" x14ac:dyDescent="0.2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5.75" customHeight="1" x14ac:dyDescent="0.2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5.75" customHeight="1" x14ac:dyDescent="0.2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5.75" customHeight="1" x14ac:dyDescent="0.2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5.75" customHeight="1" x14ac:dyDescent="0.2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5.75" customHeight="1" x14ac:dyDescent="0.2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5.75" customHeight="1" x14ac:dyDescent="0.2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5.75" customHeight="1" x14ac:dyDescent="0.2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5.75" customHeight="1" x14ac:dyDescent="0.2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5.75" customHeight="1" x14ac:dyDescent="0.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5.75" customHeight="1" x14ac:dyDescent="0.2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5.75" customHeight="1" x14ac:dyDescent="0.2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5.75" customHeight="1" x14ac:dyDescent="0.2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5.75" customHeight="1" x14ac:dyDescent="0.2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5.75" customHeight="1" x14ac:dyDescent="0.2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5.75" customHeight="1" x14ac:dyDescent="0.2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5.75" customHeight="1" x14ac:dyDescent="0.2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5.75" customHeight="1" x14ac:dyDescent="0.2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5.75" customHeight="1" x14ac:dyDescent="0.2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5.75" customHeight="1" x14ac:dyDescent="0.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5.75" customHeight="1" x14ac:dyDescent="0.2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5.75" customHeight="1" x14ac:dyDescent="0.2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5.75" customHeight="1" x14ac:dyDescent="0.2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5.75" customHeight="1" x14ac:dyDescent="0.2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5.75" customHeight="1" x14ac:dyDescent="0.2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5.75" customHeight="1" x14ac:dyDescent="0.2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5.75" customHeight="1" x14ac:dyDescent="0.2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5.75" customHeight="1" x14ac:dyDescent="0.2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5.75" customHeight="1" x14ac:dyDescent="0.2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5.75" customHeight="1" x14ac:dyDescent="0.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5.75" customHeight="1" x14ac:dyDescent="0.2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5.75" customHeight="1" x14ac:dyDescent="0.2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5.75" customHeight="1" x14ac:dyDescent="0.2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5.75" customHeight="1" x14ac:dyDescent="0.2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5.75" customHeight="1" x14ac:dyDescent="0.2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5.75" customHeight="1" x14ac:dyDescent="0.2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5.75" customHeight="1" x14ac:dyDescent="0.2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5.75" customHeight="1" x14ac:dyDescent="0.2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5.75" customHeight="1" x14ac:dyDescent="0.2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5.75" customHeight="1" x14ac:dyDescent="0.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5.75" customHeight="1" x14ac:dyDescent="0.2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5.75" customHeight="1" x14ac:dyDescent="0.2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5.75" customHeight="1" x14ac:dyDescent="0.2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5.75" customHeight="1" x14ac:dyDescent="0.2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5.75" customHeight="1" x14ac:dyDescent="0.2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5.75" customHeight="1" x14ac:dyDescent="0.2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5.75" customHeight="1" x14ac:dyDescent="0.2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5.75" customHeight="1" x14ac:dyDescent="0.2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5.75" customHeight="1" x14ac:dyDescent="0.2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5.75" customHeight="1" x14ac:dyDescent="0.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5.75" customHeight="1" x14ac:dyDescent="0.2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5.75" customHeight="1" x14ac:dyDescent="0.2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5.75" customHeight="1" x14ac:dyDescent="0.2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5.75" customHeight="1" x14ac:dyDescent="0.2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5.75" customHeight="1" x14ac:dyDescent="0.2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5.75" customHeight="1" x14ac:dyDescent="0.2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5.75" customHeight="1" x14ac:dyDescent="0.2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5.75" customHeight="1" x14ac:dyDescent="0.2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5.75" customHeight="1" x14ac:dyDescent="0.2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5.75" customHeight="1" x14ac:dyDescent="0.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5.75" customHeight="1" x14ac:dyDescent="0.2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5.75" customHeight="1" x14ac:dyDescent="0.2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5.75" customHeight="1" x14ac:dyDescent="0.2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5.75" customHeight="1" x14ac:dyDescent="0.2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5.75" customHeight="1" x14ac:dyDescent="0.2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5.75" customHeight="1" x14ac:dyDescent="0.2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5.75" customHeight="1" x14ac:dyDescent="0.2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5.75" customHeight="1" x14ac:dyDescent="0.2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5.75" customHeight="1" x14ac:dyDescent="0.2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5.75" customHeight="1" x14ac:dyDescent="0.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5.75" customHeight="1" x14ac:dyDescent="0.2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5.75" customHeight="1" x14ac:dyDescent="0.2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5.75" customHeight="1" x14ac:dyDescent="0.2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5.75" customHeight="1" x14ac:dyDescent="0.2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5.75" customHeight="1" x14ac:dyDescent="0.2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5.75" customHeight="1" x14ac:dyDescent="0.2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5.75" customHeight="1" x14ac:dyDescent="0.2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5.75" customHeight="1" x14ac:dyDescent="0.2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5.75" customHeight="1" x14ac:dyDescent="0.2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5.75" customHeight="1" x14ac:dyDescent="0.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5.75" customHeight="1" x14ac:dyDescent="0.2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5.75" customHeight="1" x14ac:dyDescent="0.2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5.75" customHeight="1" x14ac:dyDescent="0.2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5.75" customHeight="1" x14ac:dyDescent="0.2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5.75" customHeight="1" x14ac:dyDescent="0.2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5.75" customHeight="1" x14ac:dyDescent="0.2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5.75" customHeight="1" x14ac:dyDescent="0.2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5.75" customHeight="1" x14ac:dyDescent="0.2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5.75" customHeight="1" x14ac:dyDescent="0.2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5.75" customHeight="1" x14ac:dyDescent="0.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5.75" customHeight="1" x14ac:dyDescent="0.2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5.75" customHeight="1" x14ac:dyDescent="0.2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5.75" customHeight="1" x14ac:dyDescent="0.2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5.75" customHeight="1" x14ac:dyDescent="0.2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5.75" customHeight="1" x14ac:dyDescent="0.2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5.75" customHeight="1" x14ac:dyDescent="0.2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5.75" customHeight="1" x14ac:dyDescent="0.2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5.75" customHeight="1" x14ac:dyDescent="0.2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5.75" customHeight="1" x14ac:dyDescent="0.2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5.75" customHeight="1" x14ac:dyDescent="0.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5.75" customHeight="1" x14ac:dyDescent="0.2">
      <c r="A393" s="39"/>
      <c r="B393" s="39"/>
      <c r="C393" s="39"/>
      <c r="D393" s="39"/>
      <c r="E393" s="39"/>
      <c r="F393" s="40"/>
      <c r="G393" s="40"/>
      <c r="H393" s="40"/>
      <c r="I393" s="39"/>
      <c r="J393" s="39"/>
      <c r="K393" s="39"/>
      <c r="L393" s="39"/>
      <c r="M393" s="39"/>
      <c r="N393" s="39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5.75" customHeight="1" x14ac:dyDescent="0.2">
      <c r="A394" s="39"/>
      <c r="B394" s="39"/>
      <c r="C394" s="39"/>
      <c r="D394" s="39"/>
      <c r="E394" s="39"/>
      <c r="F394" s="40"/>
      <c r="G394" s="40"/>
      <c r="H394" s="40"/>
      <c r="I394" s="39"/>
      <c r="J394" s="39"/>
      <c r="K394" s="39"/>
      <c r="L394" s="39"/>
      <c r="M394" s="39"/>
      <c r="N394" s="39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5.75" customHeight="1" x14ac:dyDescent="0.2">
      <c r="A395" s="39"/>
      <c r="B395" s="39"/>
      <c r="C395" s="39"/>
      <c r="D395" s="39"/>
      <c r="E395" s="39"/>
      <c r="F395" s="40"/>
      <c r="G395" s="40"/>
      <c r="H395" s="40"/>
      <c r="I395" s="39"/>
      <c r="J395" s="39"/>
      <c r="K395" s="39"/>
      <c r="L395" s="39"/>
      <c r="M395" s="39"/>
      <c r="N395" s="39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5.75" customHeight="1" x14ac:dyDescent="0.2">
      <c r="A396" s="40"/>
      <c r="B396" s="40"/>
      <c r="C396" s="40"/>
      <c r="D396" s="39"/>
      <c r="E396" s="39"/>
      <c r="F396" s="40"/>
      <c r="G396" s="40"/>
      <c r="H396" s="40"/>
      <c r="I396" s="39"/>
      <c r="J396" s="39"/>
      <c r="K396" s="39"/>
      <c r="L396" s="39"/>
      <c r="M396" s="39"/>
      <c r="N396" s="39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5.75" customHeight="1" x14ac:dyDescent="0.2">
      <c r="A397" s="40"/>
      <c r="B397" s="40"/>
      <c r="C397" s="40"/>
      <c r="D397" s="39"/>
      <c r="E397" s="39"/>
      <c r="F397" s="40"/>
      <c r="G397" s="40"/>
      <c r="H397" s="40"/>
      <c r="I397" s="39"/>
      <c r="J397" s="39"/>
      <c r="K397" s="39"/>
      <c r="L397" s="39"/>
      <c r="M397" s="39"/>
      <c r="N397" s="39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5.75" customHeight="1" x14ac:dyDescent="0.2">
      <c r="A398" s="40"/>
      <c r="B398" s="40"/>
      <c r="C398" s="40"/>
      <c r="D398" s="39"/>
      <c r="E398" s="39"/>
      <c r="F398" s="40"/>
      <c r="G398" s="40"/>
      <c r="H398" s="40"/>
      <c r="I398" s="39"/>
      <c r="J398" s="39"/>
      <c r="K398" s="39"/>
      <c r="L398" s="39"/>
      <c r="M398" s="39"/>
      <c r="N398" s="39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5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5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5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5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5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5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5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5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5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5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5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5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5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5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5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5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5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5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5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5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5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5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5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5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5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5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5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5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5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5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5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5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5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5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5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5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5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5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5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5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5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5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5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5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5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5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5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5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5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5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5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5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5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5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5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5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5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5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5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5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5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5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5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5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5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5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5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5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5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5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5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5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5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5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5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5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5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5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5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5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5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5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5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5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5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5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5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5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5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5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5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5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5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5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5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5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5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5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5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5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5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5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5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5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5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5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5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5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5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5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5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5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5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5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5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5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5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5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5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5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5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5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5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5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5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5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5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5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5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5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5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5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5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5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5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5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5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5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5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5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5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5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5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5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5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5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5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5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5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5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5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5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5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5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5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5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5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5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5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5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5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5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5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5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5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5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5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5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5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5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5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5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5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5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5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5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5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5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5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5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5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5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5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5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5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5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5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5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5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5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5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5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5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5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5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5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5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5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5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5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5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5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5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5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5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5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5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5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5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5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5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5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5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5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5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5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5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5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5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5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5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5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5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5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5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5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5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5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5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5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5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5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5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5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5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5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5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5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5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5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5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5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5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5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5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5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5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5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5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5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5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5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5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5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5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5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5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5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5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5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5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5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5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5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5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5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5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5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5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5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5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5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5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5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5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5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5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5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5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5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5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5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5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5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5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5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5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5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5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5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5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5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5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5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5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5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5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5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5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5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5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5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5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5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5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5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5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5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5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5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5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5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5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5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5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5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5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5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5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5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5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5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5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5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5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5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5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5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5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5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5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5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5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5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5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5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5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5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5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5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5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5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5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5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5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5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5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5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5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5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5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5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5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5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5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5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5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5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5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5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5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5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5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5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5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5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5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5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5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5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5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5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5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5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5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5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5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5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5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5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5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5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5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5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5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5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5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5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5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5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5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5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5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5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5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5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5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5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5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5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5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5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5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5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5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5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5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5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5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5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5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5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5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5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5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5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5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5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5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5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5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5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5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5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5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5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5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5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5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5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5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5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5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5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5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5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5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5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5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5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5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5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5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5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5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5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5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5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5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5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5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5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5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5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5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5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5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5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5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5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5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5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5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5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5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5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5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5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5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5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5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5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5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5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5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5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5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5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5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5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5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5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5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5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5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5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5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5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5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5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5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5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5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5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5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5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5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5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5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5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5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5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5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5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5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5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5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5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5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5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5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5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5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5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5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5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5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5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5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5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5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5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5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5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5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5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5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5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5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5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5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5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5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5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5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5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5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5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5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5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5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5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5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5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5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5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5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5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5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5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5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5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5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5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5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5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5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5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5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5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5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5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5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5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5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5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5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5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5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5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5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5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5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5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5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5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5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5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5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5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5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5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5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5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5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5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5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5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5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5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5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5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5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5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5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5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5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5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spans="1:26" ht="15.75" customHeight="1" x14ac:dyDescent="0.2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spans="1:26" ht="15.75" customHeight="1" x14ac:dyDescent="0.2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spans="1:26" ht="15.75" customHeight="1" x14ac:dyDescent="0.2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spans="1:26" ht="15.75" customHeight="1" x14ac:dyDescent="0.2"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  <row r="1001" spans="1:26" ht="15.75" customHeight="1" x14ac:dyDescent="0.2"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</row>
  </sheetData>
  <mergeCells count="9">
    <mergeCell ref="T20:U20"/>
    <mergeCell ref="T22:U22"/>
    <mergeCell ref="T23:U23"/>
    <mergeCell ref="T10:U10"/>
    <mergeCell ref="T12:U12"/>
    <mergeCell ref="T13:U13"/>
    <mergeCell ref="T15:U15"/>
    <mergeCell ref="T17:U17"/>
    <mergeCell ref="T18:U18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Muriano</dc:creator>
  <cp:keywords/>
  <dc:description/>
  <cp:lastModifiedBy>Chloe Hazan</cp:lastModifiedBy>
  <cp:lastPrinted>2026-02-16T20:31:35Z</cp:lastPrinted>
  <dcterms:created xsi:type="dcterms:W3CDTF">2026-02-16T19:02:20Z</dcterms:created>
  <dcterms:modified xsi:type="dcterms:W3CDTF">2026-08-03T17:29:46Z</dcterms:modified>
  <cp:category/>
</cp:coreProperties>
</file>